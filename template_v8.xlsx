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本汇总-测算主表" sheetId="1" state="visible" r:id="rId1"/>
    <sheet xmlns:r="http://schemas.openxmlformats.org/officeDocument/2006/relationships" name="基础核心-参数库" sheetId="2" state="visible" r:id="rId2"/>
    <sheet xmlns:r="http://schemas.openxmlformats.org/officeDocument/2006/relationships" name="合理建议表-推荐规则" sheetId="3" state="visible" r:id="rId3"/>
    <sheet xmlns:r="http://schemas.openxmlformats.org/officeDocument/2006/relationships" name="计算明细表-钻爆成本" sheetId="4" state="visible" r:id="rId4"/>
    <sheet xmlns:r="http://schemas.openxmlformats.org/officeDocument/2006/relationships" name="计算明细表-挖装成本" sheetId="5" state="visible" r:id="rId5"/>
    <sheet xmlns:r="http://schemas.openxmlformats.org/officeDocument/2006/relationships" name="计算明细表-运输成本" sheetId="6" state="visible" r:id="rId6"/>
    <sheet xmlns:r="http://schemas.openxmlformats.org/officeDocument/2006/relationships" name="计算明细表-钩机松土成本" sheetId="7" state="visible" r:id="rId7"/>
    <sheet xmlns:r="http://schemas.openxmlformats.org/officeDocument/2006/relationships" name="计算明细表-机械破碎成本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_ "/>
  </numFmts>
  <fonts count="27">
    <font>
      <name val="宋体"/>
      <charset val="134"/>
      <color theme="1"/>
      <sz val="11"/>
      <scheme val="minor"/>
    </font>
    <font>
      <name val="仿宋"/>
      <charset val="134"/>
      <b val="1"/>
      <color theme="1"/>
      <sz val="16"/>
    </font>
    <font>
      <name val="仿宋"/>
      <charset val="134"/>
      <b val="1"/>
      <color theme="1"/>
      <sz val="10"/>
    </font>
    <font>
      <name val="宋体"/>
      <charset val="134"/>
      <color theme="1"/>
      <sz val="11"/>
    </font>
    <font>
      <name val="仿宋"/>
      <charset val="134"/>
      <color theme="1"/>
      <sz val="10"/>
    </font>
    <font>
      <name val="宋体"/>
      <charset val="134"/>
      <color rgb="FFFF0000"/>
      <sz val="10"/>
    </font>
    <font>
      <name val="仿宋"/>
      <charset val="134"/>
      <color theme="1"/>
      <sz val="11"/>
    </font>
    <font>
      <name val="仿宋"/>
      <charset val="134"/>
      <b val="1"/>
      <sz val="10"/>
    </font>
    <font>
      <name val="仿宋"/>
      <charset val="134"/>
      <b val="1"/>
      <sz val="14"/>
    </font>
    <font>
      <name val="仿宋"/>
      <charset val="134"/>
      <b val="1"/>
      <sz val="12"/>
    </font>
    <font>
      <name val="仿宋"/>
      <charset val="134"/>
      <b val="1"/>
      <color theme="0" tint="-0.25"/>
      <sz val="10"/>
    </font>
    <font>
      <name val="仿宋"/>
      <charset val="134"/>
      <b val="1"/>
      <color rgb="FF00B050"/>
      <sz val="10"/>
    </font>
    <font>
      <name val="仿宋"/>
      <charset val="134"/>
      <color theme="0" tint="-0.25"/>
      <sz val="10"/>
    </font>
    <font>
      <name val="仿宋"/>
      <charset val="134"/>
      <color rgb="FF00B050"/>
      <sz val="10"/>
    </font>
    <font>
      <name val="仿宋"/>
      <charset val="134"/>
      <b val="1"/>
      <color theme="1"/>
      <sz val="11"/>
    </font>
    <font>
      <name val="宋体"/>
      <charset val="134"/>
      <b val="1"/>
      <color theme="1"/>
      <sz val="14"/>
    </font>
    <font>
      <name val="宋体"/>
      <charset val="134"/>
      <b val="1"/>
      <sz val="10"/>
    </font>
    <font>
      <name val="宋体"/>
      <charset val="134"/>
      <color theme="1"/>
      <sz val="10"/>
    </font>
    <font>
      <name val="仿宋"/>
      <charset val="134"/>
      <sz val="10"/>
    </font>
    <font>
      <name val="仿宋"/>
      <charset val="134"/>
      <b val="1"/>
      <color rgb="FFFF0000"/>
      <sz val="10"/>
    </font>
    <font>
      <name val="仿宋"/>
      <charset val="134"/>
      <sz val="9"/>
    </font>
    <font>
      <name val="仿宋"/>
      <charset val="134"/>
      <color rgb="FFFF0000"/>
      <sz val="10"/>
    </font>
    <font>
      <name val="仿宋"/>
      <charset val="134"/>
      <sz val="11"/>
    </font>
    <font>
      <name val="仿宋"/>
      <charset val="134"/>
      <color theme="1"/>
      <sz val="8"/>
    </font>
    <font>
      <name val="仿宋"/>
      <charset val="134"/>
      <sz val="8"/>
    </font>
    <font>
      <name val="仿宋"/>
      <charset val="134"/>
      <b val="1"/>
      <color theme="1"/>
      <sz val="9"/>
    </font>
    <font>
      <name val="仿宋"/>
      <charset val="134"/>
      <b val="1"/>
      <sz val="16"/>
    </font>
  </fonts>
  <fills count="12">
    <fill>
      <patternFill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/>
      <right/>
      <top style="medium">
        <color auto="1"/>
      </top>
      <bottom style="thin">
        <color auto="1"/>
      </bottom>
    </border>
    <border>
      <left/>
      <right style="thin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auto="1"/>
      </left>
      <right style="thin">
        <color rgb="FF000000"/>
      </right>
      <top style="medium">
        <color auto="1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</border>
    <border>
      <left style="thin">
        <color rgb="FF000000"/>
      </left>
      <right style="medium">
        <color auto="1"/>
      </right>
      <top style="medium">
        <color auto="1"/>
      </top>
      <bottom style="thin">
        <color rgb="FF000000"/>
      </bottom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3" fillId="0" borderId="4" pivotButton="0" quotePrefix="0" xfId="0"/>
    <xf numFmtId="0" fontId="4" fillId="4" borderId="5" applyAlignment="1" pivotButton="0" quotePrefix="0" xfId="0">
      <alignment vertical="center" wrapText="1"/>
    </xf>
    <xf numFmtId="0" fontId="4" fillId="5" borderId="6" applyAlignment="1" pivotButton="0" quotePrefix="0" xfId="0">
      <alignment horizontal="center" vertical="center"/>
    </xf>
    <xf numFmtId="0" fontId="4" fillId="4" borderId="7" applyAlignment="1" pivotButton="0" quotePrefix="0" xfId="0">
      <alignment vertical="center" wrapText="1"/>
    </xf>
    <xf numFmtId="1" fontId="4" fillId="6" borderId="6" applyAlignment="1" pivotButton="0" quotePrefix="0" xfId="0">
      <alignment horizontal="center" vertical="center"/>
    </xf>
    <xf numFmtId="2" fontId="4" fillId="6" borderId="6" applyAlignment="1" pivotButton="0" quotePrefix="0" xfId="0">
      <alignment horizontal="center" vertical="center"/>
    </xf>
    <xf numFmtId="9" fontId="4" fillId="6" borderId="6" applyAlignment="1" pivotButton="0" quotePrefix="0" xfId="0">
      <alignment horizontal="center" vertical="center"/>
    </xf>
    <xf numFmtId="0" fontId="4" fillId="4" borderId="8" applyAlignment="1" pivotButton="0" quotePrefix="0" xfId="0">
      <alignment vertical="center" wrapText="1"/>
    </xf>
    <xf numFmtId="0" fontId="4" fillId="6" borderId="9" applyAlignment="1" pivotButton="0" quotePrefix="0" xfId="0">
      <alignment horizontal="center" vertical="center"/>
    </xf>
    <xf numFmtId="0" fontId="4" fillId="4" borderId="10" applyAlignment="1" pivotButton="0" quotePrefix="0" xfId="0">
      <alignment vertical="center" wrapText="1"/>
    </xf>
    <xf numFmtId="0" fontId="4" fillId="4" borderId="6" applyAlignment="1" pivotButton="0" quotePrefix="0" xfId="0">
      <alignment vertical="center" wrapText="1"/>
    </xf>
    <xf numFmtId="0" fontId="4" fillId="7" borderId="6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3" fillId="0" borderId="12" pivotButton="0" quotePrefix="0" xfId="0"/>
    <xf numFmtId="0" fontId="3" fillId="0" borderId="13" pivotButton="0" quotePrefix="0" xfId="0"/>
    <xf numFmtId="0" fontId="4" fillId="4" borderId="14" applyAlignment="1" pivotButton="0" quotePrefix="0" xfId="0">
      <alignment vertical="center" wrapText="1"/>
    </xf>
    <xf numFmtId="0" fontId="4" fillId="5" borderId="15" applyAlignment="1" pivotButton="0" quotePrefix="0" xfId="0">
      <alignment horizontal="center" vertical="center"/>
    </xf>
    <xf numFmtId="0" fontId="4" fillId="4" borderId="16" applyAlignment="1" pivotButton="0" quotePrefix="0" xfId="0">
      <alignment vertical="center" wrapText="1"/>
    </xf>
    <xf numFmtId="1" fontId="4" fillId="6" borderId="15" applyAlignment="1" pivotButton="0" quotePrefix="0" xfId="0">
      <alignment horizontal="center" vertical="center"/>
    </xf>
    <xf numFmtId="0" fontId="4" fillId="4" borderId="17" applyAlignment="1" pivotButton="0" quotePrefix="0" xfId="0">
      <alignment vertical="center" wrapText="1"/>
    </xf>
    <xf numFmtId="0" fontId="4" fillId="6" borderId="18" applyAlignment="1" pivotButton="0" quotePrefix="0" xfId="0">
      <alignment horizontal="center" vertical="center"/>
    </xf>
    <xf numFmtId="0" fontId="4" fillId="4" borderId="19" applyAlignment="1" pivotButton="0" quotePrefix="0" xfId="0">
      <alignment vertical="center" wrapText="1"/>
    </xf>
    <xf numFmtId="0" fontId="6" fillId="0" borderId="1" pivotButton="0" quotePrefix="0" xfId="0"/>
    <xf numFmtId="0" fontId="4" fillId="6" borderId="6" applyAlignment="1" pivotButton="0" quotePrefix="0" xfId="0">
      <alignment horizontal="center" vertical="center"/>
    </xf>
    <xf numFmtId="4" fontId="4" fillId="6" borderId="6" applyAlignment="1" pivotButton="0" quotePrefix="0" xfId="0">
      <alignment horizontal="right" vertical="center"/>
    </xf>
    <xf numFmtId="4" fontId="7" fillId="6" borderId="6" applyAlignment="1" pivotButton="0" quotePrefix="0" xfId="0">
      <alignment horizontal="right" vertical="center"/>
    </xf>
    <xf numFmtId="0" fontId="8" fillId="2" borderId="20" applyAlignment="1" pivotButton="0" quotePrefix="0" xfId="0">
      <alignment horizontal="center" vertical="center" wrapText="1"/>
    </xf>
    <xf numFmtId="0" fontId="3" fillId="0" borderId="21" pivotButton="0" quotePrefix="0" xfId="0"/>
    <xf numFmtId="0" fontId="8" fillId="2" borderId="2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 wrapText="1"/>
    </xf>
    <xf numFmtId="0" fontId="7" fillId="4" borderId="5" applyAlignment="1" pivotButton="0" quotePrefix="0" xfId="0">
      <alignment vertical="center" wrapText="1"/>
    </xf>
    <xf numFmtId="0" fontId="7" fillId="4" borderId="6" applyAlignment="1" pivotButton="0" quotePrefix="0" xfId="0">
      <alignment vertical="center" wrapText="1"/>
    </xf>
    <xf numFmtId="0" fontId="7" fillId="4" borderId="7" applyAlignment="1" pivotButton="0" quotePrefix="0" xfId="0">
      <alignment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14" applyAlignment="1" pivotButton="0" quotePrefix="0" xfId="0">
      <alignment horizontal="center" vertical="center" wrapText="1"/>
    </xf>
    <xf numFmtId="0" fontId="7" fillId="4" borderId="15" applyAlignment="1" pivotButton="0" quotePrefix="0" xfId="0">
      <alignment horizontal="center" vertical="center" wrapText="1"/>
    </xf>
    <xf numFmtId="0" fontId="7" fillId="4" borderId="16" applyAlignment="1" pivotButton="0" quotePrefix="0" xfId="0">
      <alignment horizontal="center" vertical="center" wrapText="1"/>
    </xf>
    <xf numFmtId="164" fontId="4" fillId="8" borderId="6" applyAlignment="1" pivotButton="0" quotePrefix="0" xfId="0">
      <alignment vertical="center" wrapText="1"/>
    </xf>
    <xf numFmtId="0" fontId="4" fillId="4" borderId="7" applyAlignment="1" pivotButton="0" quotePrefix="0" xfId="0">
      <alignment horizontal="left" vertical="center" wrapText="1"/>
    </xf>
    <xf numFmtId="0" fontId="4" fillId="6" borderId="6" applyAlignment="1" pivotButton="0" quotePrefix="0" xfId="0">
      <alignment vertical="center" wrapText="1"/>
    </xf>
    <xf numFmtId="9" fontId="4" fillId="8" borderId="6" applyAlignment="1" pivotButton="0" quotePrefix="0" xfId="0">
      <alignment vertical="center" wrapText="1"/>
    </xf>
    <xf numFmtId="165" fontId="4" fillId="8" borderId="6" applyAlignment="1" pivotButton="0" quotePrefix="0" xfId="0">
      <alignment vertical="center" wrapText="1"/>
    </xf>
    <xf numFmtId="165" fontId="4" fillId="8" borderId="7" applyAlignment="1" pivotButton="0" quotePrefix="0" xfId="0">
      <alignment vertical="center" wrapText="1"/>
    </xf>
    <xf numFmtId="0" fontId="4" fillId="4" borderId="14" applyAlignment="1" pivotButton="0" quotePrefix="0" xfId="0">
      <alignment horizontal="left" vertical="center" wrapText="1"/>
    </xf>
    <xf numFmtId="0" fontId="4" fillId="8" borderId="15" applyAlignment="1" pivotButton="0" quotePrefix="0" xfId="0">
      <alignment horizontal="right" vertical="center" wrapText="1"/>
    </xf>
    <xf numFmtId="0" fontId="4" fillId="4" borderId="16" applyAlignment="1" pivotButton="0" quotePrefix="0" xfId="0">
      <alignment horizontal="left" vertical="center" wrapText="1"/>
    </xf>
    <xf numFmtId="165" fontId="4" fillId="8" borderId="9" applyAlignment="1" pivotButton="0" quotePrefix="0" xfId="0">
      <alignment vertical="center" wrapText="1"/>
    </xf>
    <xf numFmtId="165" fontId="4" fillId="8" borderId="10" applyAlignment="1" pivotButton="0" quotePrefix="0" xfId="0">
      <alignment vertical="center" wrapText="1"/>
    </xf>
    <xf numFmtId="0" fontId="4" fillId="4" borderId="9" applyAlignment="1" pivotButton="0" quotePrefix="0" xfId="0">
      <alignment vertical="center" wrapText="1"/>
    </xf>
    <xf numFmtId="164" fontId="4" fillId="8" borderId="9" applyAlignment="1" pivotButton="0" quotePrefix="0" xfId="0">
      <alignment vertical="center" wrapText="1"/>
    </xf>
    <xf numFmtId="0" fontId="4" fillId="6" borderId="9" applyAlignment="1" pivotButton="0" quotePrefix="0" xfId="0">
      <alignment vertical="center" wrapText="1"/>
    </xf>
    <xf numFmtId="9" fontId="4" fillId="8" borderId="9" applyAlignment="1" pivotButton="0" quotePrefix="0" xfId="0">
      <alignment vertical="center" wrapText="1"/>
    </xf>
    <xf numFmtId="0" fontId="9" fillId="2" borderId="20" applyAlignment="1" pivotButton="0" quotePrefix="0" xfId="0">
      <alignment horizontal="center" vertical="center" wrapText="1"/>
    </xf>
    <xf numFmtId="0" fontId="10" fillId="4" borderId="6" applyAlignment="1" pivotButton="0" quotePrefix="0" xfId="0">
      <alignment horizontal="center" vertical="center" wrapText="1"/>
    </xf>
    <xf numFmtId="0" fontId="11" fillId="4" borderId="6" applyAlignment="1" pivotButton="0" quotePrefix="0" xfId="0">
      <alignment horizontal="center" vertical="center" wrapText="1"/>
    </xf>
    <xf numFmtId="0" fontId="4" fillId="8" borderId="5" applyAlignment="1" pivotButton="0" quotePrefix="0" xfId="0">
      <alignment vertical="center" wrapText="1"/>
    </xf>
    <xf numFmtId="164" fontId="12" fillId="8" borderId="6" applyAlignment="1" pivotButton="0" quotePrefix="0" xfId="0">
      <alignment vertical="center" wrapText="1"/>
    </xf>
    <xf numFmtId="164" fontId="13" fillId="4" borderId="6" applyAlignment="1" pivotButton="0" quotePrefix="0" xfId="0">
      <alignment vertical="center" wrapText="1"/>
    </xf>
    <xf numFmtId="164" fontId="4" fillId="8" borderId="7" applyAlignment="1" pivotButton="0" quotePrefix="0" xfId="0">
      <alignment vertical="center" wrapText="1"/>
    </xf>
    <xf numFmtId="0" fontId="6" fillId="4" borderId="14" applyAlignment="1" pivotButton="0" quotePrefix="0" xfId="0">
      <alignment vertical="center" wrapText="1"/>
    </xf>
    <xf numFmtId="0" fontId="6" fillId="8" borderId="15" applyAlignment="1" pivotButton="0" quotePrefix="0" xfId="0">
      <alignment horizontal="right" vertical="center" wrapText="1"/>
    </xf>
    <xf numFmtId="0" fontId="6" fillId="4" borderId="16" applyAlignment="1" pivotButton="0" quotePrefix="0" xfId="0">
      <alignment vertical="center" wrapText="1"/>
    </xf>
    <xf numFmtId="10" fontId="4" fillId="8" borderId="6" applyAlignment="1" pivotButton="0" quotePrefix="0" xfId="0">
      <alignment vertical="center" wrapText="1"/>
    </xf>
    <xf numFmtId="0" fontId="4" fillId="4" borderId="10" applyAlignment="1" pivotButton="0" quotePrefix="0" xfId="0">
      <alignment horizontal="left" vertical="center" wrapText="1"/>
    </xf>
    <xf numFmtId="0" fontId="4" fillId="8" borderId="8" applyAlignment="1" pivotButton="0" quotePrefix="0" xfId="0">
      <alignment vertical="center" wrapText="1"/>
    </xf>
    <xf numFmtId="164" fontId="12" fillId="8" borderId="9" applyAlignment="1" pivotButton="0" quotePrefix="0" xfId="0">
      <alignment vertical="center" wrapText="1"/>
    </xf>
    <xf numFmtId="164" fontId="13" fillId="4" borderId="9" applyAlignment="1" pivotButton="0" quotePrefix="0" xfId="0">
      <alignment vertical="center" wrapText="1"/>
    </xf>
    <xf numFmtId="164" fontId="4" fillId="8" borderId="10" applyAlignment="1" pivotButton="0" quotePrefix="0" xfId="0">
      <alignment vertical="center" wrapText="1"/>
    </xf>
    <xf numFmtId="0" fontId="9" fillId="2" borderId="2" applyAlignment="1" pivotButton="0" quotePrefix="0" xfId="0">
      <alignment horizontal="center" vertical="center" wrapText="1"/>
    </xf>
    <xf numFmtId="0" fontId="4" fillId="8" borderId="6" applyAlignment="1" pivotButton="0" quotePrefix="0" xfId="0">
      <alignment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8" borderId="7" applyAlignment="1" pivotButton="0" quotePrefix="0" xfId="0">
      <alignment vertical="center" wrapText="1"/>
    </xf>
    <xf numFmtId="0" fontId="6" fillId="4" borderId="17" applyAlignment="1" pivotButton="0" quotePrefix="0" xfId="0">
      <alignment vertical="center" wrapText="1"/>
    </xf>
    <xf numFmtId="0" fontId="6" fillId="8" borderId="18" applyAlignment="1" pivotButton="0" quotePrefix="0" xfId="0">
      <alignment horizontal="right" vertical="center" wrapText="1"/>
    </xf>
    <xf numFmtId="0" fontId="6" fillId="4" borderId="19" applyAlignment="1" pivotButton="0" quotePrefix="0" xfId="0">
      <alignment vertical="center" wrapText="1"/>
    </xf>
    <xf numFmtId="0" fontId="4" fillId="8" borderId="9" applyAlignment="1" pivotButton="0" quotePrefix="0" xfId="0">
      <alignment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8" borderId="10" applyAlignment="1" pivotButton="0" quotePrefix="0" xfId="0">
      <alignment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9" fillId="2" borderId="24" applyAlignment="1" pivotButton="0" quotePrefix="0" xfId="0">
      <alignment horizontal="center" vertical="center" wrapText="1"/>
    </xf>
    <xf numFmtId="0" fontId="3" fillId="0" borderId="25" pivotButton="0" quotePrefix="0" xfId="0"/>
    <xf numFmtId="0" fontId="7" fillId="4" borderId="26" applyAlignment="1" pivotButton="0" quotePrefix="0" xfId="0">
      <alignment horizontal="center" vertical="center" wrapText="1"/>
    </xf>
    <xf numFmtId="166" fontId="4" fillId="8" borderId="6" applyAlignment="1" pivotButton="0" quotePrefix="0" xfId="0">
      <alignment vertical="center" wrapText="1"/>
    </xf>
    <xf numFmtId="165" fontId="4" fillId="8" borderId="26" applyAlignment="1" pivotButton="0" quotePrefix="0" xfId="0">
      <alignment vertical="center" wrapText="1"/>
    </xf>
    <xf numFmtId="0" fontId="4" fillId="4" borderId="5" applyAlignment="1" pivotButton="0" quotePrefix="0" xfId="0">
      <alignment horizontal="center" vertical="center" wrapText="1"/>
    </xf>
    <xf numFmtId="164" fontId="4" fillId="4" borderId="6" applyAlignment="1" pivotButton="0" quotePrefix="0" xfId="0">
      <alignment horizontal="center" vertical="center" wrapText="1"/>
    </xf>
    <xf numFmtId="9" fontId="4" fillId="8" borderId="6" applyAlignment="1" pivotButton="0" quotePrefix="0" xfId="0">
      <alignment horizontal="center" vertical="center" wrapText="1"/>
    </xf>
    <xf numFmtId="9" fontId="4" fillId="8" borderId="7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 wrapText="1"/>
    </xf>
    <xf numFmtId="164" fontId="4" fillId="4" borderId="9" applyAlignment="1" pivotButton="0" quotePrefix="0" xfId="0">
      <alignment horizontal="center" vertical="center" wrapText="1"/>
    </xf>
    <xf numFmtId="9" fontId="4" fillId="8" borderId="9" applyAlignment="1" pivotButton="0" quotePrefix="0" xfId="0">
      <alignment horizontal="center" vertical="center" wrapText="1"/>
    </xf>
    <xf numFmtId="9" fontId="4" fillId="8" borderId="10" applyAlignment="1" pivotButton="0" quotePrefix="0" xfId="0">
      <alignment horizontal="center" vertical="center" wrapText="1"/>
    </xf>
    <xf numFmtId="0" fontId="4" fillId="0" borderId="27" applyAlignment="1" pivotButton="0" quotePrefix="0" xfId="0">
      <alignment vertical="center" wrapText="1"/>
    </xf>
    <xf numFmtId="0" fontId="4" fillId="0" borderId="28" applyAlignment="1" pivotButton="0" quotePrefix="0" xfId="0">
      <alignment vertical="center" wrapText="1"/>
    </xf>
    <xf numFmtId="164" fontId="4" fillId="0" borderId="28" applyAlignment="1" pivotButton="0" quotePrefix="0" xfId="0">
      <alignment vertical="center" wrapText="1"/>
    </xf>
    <xf numFmtId="9" fontId="4" fillId="0" borderId="28" applyAlignment="1" pivotButton="0" quotePrefix="0" xfId="0">
      <alignment vertical="center" wrapText="1"/>
    </xf>
    <xf numFmtId="0" fontId="4" fillId="0" borderId="29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0" fontId="9" fillId="2" borderId="6" applyAlignment="1" pivotButton="0" quotePrefix="0" xfId="0">
      <alignment horizontal="center" vertical="center" wrapText="1"/>
    </xf>
    <xf numFmtId="0" fontId="3" fillId="0" borderId="30" pivotButton="0" quotePrefix="0" xfId="0"/>
    <xf numFmtId="0" fontId="3" fillId="0" borderId="31" pivotButton="0" quotePrefix="0" xfId="0"/>
    <xf numFmtId="166" fontId="4" fillId="8" borderId="9" applyAlignment="1" pivotButton="0" quotePrefix="0" xfId="0">
      <alignment vertical="center" wrapText="1"/>
    </xf>
    <xf numFmtId="0" fontId="9" fillId="2" borderId="32" applyAlignment="1" pivotButton="0" quotePrefix="0" xfId="0">
      <alignment horizontal="center" vertical="center" wrapText="1"/>
    </xf>
    <xf numFmtId="0" fontId="3" fillId="0" borderId="33" pivotButton="0" quotePrefix="0" xfId="0"/>
    <xf numFmtId="0" fontId="4" fillId="4" borderId="7" applyAlignment="1" pivotButton="0" quotePrefix="0" xfId="0">
      <alignment horizontal="center" vertical="center" wrapText="1"/>
    </xf>
    <xf numFmtId="0" fontId="4" fillId="8" borderId="6" applyAlignment="1" pivotButton="0" quotePrefix="0" xfId="0">
      <alignment horizontal="right" vertical="center" wrapText="1"/>
    </xf>
    <xf numFmtId="0" fontId="4" fillId="8" borderId="9" applyAlignment="1" pivotButton="0" quotePrefix="0" xfId="0">
      <alignment horizontal="right" vertical="center" wrapText="1"/>
    </xf>
    <xf numFmtId="166" fontId="4" fillId="4" borderId="7" applyAlignment="1" pivotButton="0" quotePrefix="0" xfId="0">
      <alignment horizontal="center" vertical="center" wrapText="1"/>
    </xf>
    <xf numFmtId="166" fontId="4" fillId="4" borderId="10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 wrapText="1"/>
    </xf>
    <xf numFmtId="0" fontId="15" fillId="2" borderId="1" applyAlignment="1" pivotButton="0" quotePrefix="0" xfId="0">
      <alignment horizontal="center" vertical="center"/>
    </xf>
    <xf numFmtId="0" fontId="16" fillId="4" borderId="6" applyAlignment="1" pivotButton="0" quotePrefix="0" xfId="0">
      <alignment horizontal="center" vertical="center"/>
    </xf>
    <xf numFmtId="166" fontId="17" fillId="8" borderId="6" applyAlignment="1" pivotButton="0" quotePrefix="0" xfId="0">
      <alignment horizontal="center" vertical="center"/>
    </xf>
    <xf numFmtId="0" fontId="17" fillId="4" borderId="6" applyAlignment="1" pivotButton="0" quotePrefix="0" xfId="0">
      <alignment horizontal="center" vertical="center"/>
    </xf>
    <xf numFmtId="0" fontId="17" fillId="0" borderId="1" applyAlignment="1" pivotButton="0" quotePrefix="0" xfId="0">
      <alignment vertical="center"/>
    </xf>
    <xf numFmtId="0" fontId="8" fillId="2" borderId="1" applyAlignment="1" pivotButton="0" quotePrefix="0" xfId="0">
      <alignment horizontal="center" vertical="center"/>
    </xf>
    <xf numFmtId="0" fontId="18" fillId="9" borderId="6" applyAlignment="1" pivotButton="0" quotePrefix="0" xfId="0">
      <alignment vertical="center" wrapText="1"/>
    </xf>
    <xf numFmtId="4" fontId="19" fillId="5" borderId="6" applyAlignment="1" pivotButton="0" quotePrefix="0" xfId="0">
      <alignment vertical="center"/>
    </xf>
    <xf numFmtId="0" fontId="20" fillId="9" borderId="6" applyAlignment="1" pivotButton="0" quotePrefix="0" xfId="0">
      <alignment horizontal="left" vertical="center" wrapText="1"/>
    </xf>
    <xf numFmtId="0" fontId="18" fillId="9" borderId="34" applyAlignment="1" pivotButton="0" quotePrefix="0" xfId="0">
      <alignment vertical="center"/>
    </xf>
    <xf numFmtId="0" fontId="18" fillId="10" borderId="34" applyAlignment="1" pivotButton="0" quotePrefix="0" xfId="0">
      <alignment vertical="center"/>
    </xf>
    <xf numFmtId="0" fontId="20" fillId="9" borderId="34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center" vertical="center"/>
    </xf>
    <xf numFmtId="0" fontId="18" fillId="9" borderId="5" applyAlignment="1" pivotButton="0" quotePrefix="0" xfId="0">
      <alignment vertical="center"/>
    </xf>
    <xf numFmtId="4" fontId="18" fillId="8" borderId="6" applyAlignment="1" pivotButton="0" quotePrefix="0" xfId="0">
      <alignment vertical="center"/>
    </xf>
    <xf numFmtId="0" fontId="18" fillId="9" borderId="7" applyAlignment="1" pivotButton="0" quotePrefix="0" xfId="0">
      <alignment vertical="center" wrapText="1"/>
    </xf>
    <xf numFmtId="0" fontId="20" fillId="9" borderId="7" applyAlignment="1" pivotButton="0" quotePrefix="0" xfId="0">
      <alignment horizontal="left" vertical="center" wrapText="1"/>
    </xf>
    <xf numFmtId="2" fontId="18" fillId="8" borderId="6" applyAlignment="1" pivotButton="0" quotePrefix="0" xfId="0">
      <alignment vertical="center"/>
    </xf>
    <xf numFmtId="0" fontId="18" fillId="9" borderId="8" applyAlignment="1" pivotButton="0" quotePrefix="0" xfId="0">
      <alignment vertical="center"/>
    </xf>
    <xf numFmtId="4" fontId="19" fillId="8" borderId="9" applyAlignment="1" pivotButton="0" quotePrefix="0" xfId="0">
      <alignment vertical="center"/>
    </xf>
    <xf numFmtId="0" fontId="20" fillId="9" borderId="10" applyAlignment="1" pivotButton="0" quotePrefix="0" xfId="0">
      <alignment horizontal="left" vertical="center" wrapText="1"/>
    </xf>
    <xf numFmtId="0" fontId="18" fillId="9" borderId="1" applyAlignment="1" pivotButton="0" quotePrefix="0" xfId="0">
      <alignment vertical="center"/>
    </xf>
    <xf numFmtId="0" fontId="18" fillId="9" borderId="1" applyAlignment="1" pivotButton="0" quotePrefix="0" xfId="0">
      <alignment vertical="center" wrapText="1"/>
    </xf>
    <xf numFmtId="0" fontId="18" fillId="8" borderId="6" applyAlignment="1" pivotButton="0" quotePrefix="0" xfId="0">
      <alignment vertical="center"/>
    </xf>
    <xf numFmtId="2" fontId="21" fillId="8" borderId="9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4" fontId="18" fillId="9" borderId="6" applyAlignment="1" pivotButton="0" quotePrefix="0" xfId="0">
      <alignment horizontal="center" vertical="center"/>
    </xf>
    <xf numFmtId="3" fontId="18" fillId="9" borderId="6" applyAlignment="1" pivotButton="0" quotePrefix="0" xfId="0">
      <alignment horizontal="center" vertical="center"/>
    </xf>
    <xf numFmtId="0" fontId="18" fillId="9" borderId="6" applyAlignment="1" pivotButton="0" quotePrefix="0" xfId="0">
      <alignment horizontal="center" vertical="center"/>
    </xf>
    <xf numFmtId="166" fontId="18" fillId="9" borderId="6" applyAlignment="1" pivotButton="0" quotePrefix="0" xfId="0">
      <alignment horizontal="center" vertical="center"/>
    </xf>
    <xf numFmtId="0" fontId="18" fillId="9" borderId="9" applyAlignment="1" pivotButton="0" quotePrefix="0" xfId="0">
      <alignment horizontal="center" vertical="center"/>
    </xf>
    <xf numFmtId="2" fontId="18" fillId="9" borderId="6" applyAlignment="1" pivotButton="0" quotePrefix="0" xfId="0">
      <alignment vertical="center"/>
    </xf>
    <xf numFmtId="2" fontId="18" fillId="9" borderId="9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1" fontId="18" fillId="9" borderId="6" applyAlignment="1" pivotButton="0" quotePrefix="0" xfId="0">
      <alignment vertical="center"/>
    </xf>
    <xf numFmtId="4" fontId="18" fillId="9" borderId="6" applyAlignment="1" pivotButton="0" quotePrefix="0" xfId="0">
      <alignment vertical="center"/>
    </xf>
    <xf numFmtId="4" fontId="18" fillId="9" borderId="9" applyAlignment="1" pivotButton="0" quotePrefix="0" xfId="0">
      <alignment vertical="center"/>
    </xf>
    <xf numFmtId="0" fontId="18" fillId="4" borderId="20" applyAlignment="1" pivotButton="0" quotePrefix="0" xfId="0">
      <alignment vertical="center"/>
    </xf>
    <xf numFmtId="4" fontId="7" fillId="5" borderId="35" applyAlignment="1" pivotButton="0" quotePrefix="0" xfId="0">
      <alignment vertical="center"/>
    </xf>
    <xf numFmtId="0" fontId="18" fillId="4" borderId="36" applyAlignment="1" pivotButton="0" quotePrefix="0" xfId="0">
      <alignment vertical="center"/>
    </xf>
    <xf numFmtId="0" fontId="18" fillId="4" borderId="8" applyAlignment="1" pivotButton="0" quotePrefix="0" xfId="0">
      <alignment vertical="center"/>
    </xf>
    <xf numFmtId="0" fontId="18" fillId="4" borderId="9" applyAlignment="1" pivotButton="0" quotePrefix="0" xfId="0">
      <alignment horizontal="center" vertical="center"/>
    </xf>
    <xf numFmtId="0" fontId="20" fillId="4" borderId="10" applyAlignment="1" pivotButton="0" quotePrefix="0" xfId="0">
      <alignment horizontal="left" vertical="center" wrapText="1"/>
    </xf>
    <xf numFmtId="0" fontId="18" fillId="11" borderId="1" applyAlignment="1" pivotButton="0" quotePrefix="0" xfId="0">
      <alignment vertical="center"/>
    </xf>
    <xf numFmtId="0" fontId="18" fillId="11" borderId="1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18" fillId="4" borderId="5" applyAlignment="1" pivotButton="0" quotePrefix="0" xfId="0">
      <alignment vertical="center"/>
    </xf>
    <xf numFmtId="0" fontId="18" fillId="4" borderId="6" applyAlignment="1" pivotButton="0" quotePrefix="0" xfId="0">
      <alignment vertical="center"/>
    </xf>
    <xf numFmtId="0" fontId="20" fillId="4" borderId="7" applyAlignment="1" pivotButton="0" quotePrefix="0" xfId="0">
      <alignment horizontal="left" vertical="center" wrapText="1"/>
    </xf>
    <xf numFmtId="164" fontId="18" fillId="4" borderId="6" applyAlignment="1" pivotButton="0" quotePrefix="0" xfId="0">
      <alignment vertical="center"/>
    </xf>
    <xf numFmtId="0" fontId="18" fillId="4" borderId="5" applyAlignment="1" pivotButton="0" quotePrefix="0" xfId="0">
      <alignment vertical="center" wrapText="1"/>
    </xf>
    <xf numFmtId="0" fontId="20" fillId="4" borderId="7" applyAlignment="1" pivotButton="0" quotePrefix="0" xfId="0">
      <alignment vertical="center" wrapText="1"/>
    </xf>
    <xf numFmtId="0" fontId="18" fillId="4" borderId="8" applyAlignment="1" pivotButton="0" quotePrefix="0" xfId="0">
      <alignment vertical="center" wrapText="1"/>
    </xf>
    <xf numFmtId="164" fontId="18" fillId="4" borderId="9" applyAlignment="1" pivotButton="0" quotePrefix="0" xfId="0">
      <alignment vertical="center"/>
    </xf>
    <xf numFmtId="0" fontId="20" fillId="4" borderId="10" applyAlignment="1" pivotButton="0" quotePrefix="0" xfId="0">
      <alignment vertical="center" wrapText="1"/>
    </xf>
    <xf numFmtId="0" fontId="20" fillId="0" borderId="1" applyAlignment="1" pivotButton="0" quotePrefix="0" xfId="0">
      <alignment horizontal="left" vertical="center" wrapText="1"/>
    </xf>
    <xf numFmtId="164" fontId="18" fillId="11" borderId="1" applyAlignment="1" pivotButton="0" quotePrefix="0" xfId="0">
      <alignment vertical="center"/>
    </xf>
    <xf numFmtId="0" fontId="18" fillId="4" borderId="37" applyAlignment="1" pivotButton="0" quotePrefix="0" xfId="0">
      <alignment vertical="center" wrapText="1"/>
    </xf>
    <xf numFmtId="4" fontId="7" fillId="5" borderId="38" applyAlignment="1" pivotButton="0" quotePrefix="0" xfId="0">
      <alignment vertical="center" wrapText="1"/>
    </xf>
    <xf numFmtId="0" fontId="18" fillId="4" borderId="39" applyAlignment="1" pivotButton="0" quotePrefix="0" xfId="0">
      <alignment vertical="center" wrapText="1"/>
    </xf>
    <xf numFmtId="4" fontId="18" fillId="11" borderId="1" applyAlignment="1" pivotButton="0" quotePrefix="0" xfId="0">
      <alignment vertical="center"/>
    </xf>
    <xf numFmtId="0" fontId="22" fillId="11" borderId="1" applyAlignment="1" pivotButton="0" quotePrefix="0" xfId="0">
      <alignment vertical="center"/>
    </xf>
    <xf numFmtId="0" fontId="18" fillId="4" borderId="6" applyAlignment="1" pivotButton="0" quotePrefix="0" xfId="0">
      <alignment horizontal="center" vertical="center"/>
    </xf>
    <xf numFmtId="2" fontId="18" fillId="4" borderId="6" applyAlignment="1" pivotButton="0" quotePrefix="0" xfId="0">
      <alignment vertical="center"/>
    </xf>
    <xf numFmtId="0" fontId="7" fillId="4" borderId="5" applyAlignment="1" pivotButton="0" quotePrefix="0" xfId="0">
      <alignment vertical="center"/>
    </xf>
    <xf numFmtId="4" fontId="18" fillId="4" borderId="6" applyAlignment="1" pivotButton="0" quotePrefix="0" xfId="0">
      <alignment vertical="center"/>
    </xf>
    <xf numFmtId="0" fontId="22" fillId="4" borderId="7" applyAlignment="1" pivotButton="0" quotePrefix="0" xfId="0">
      <alignment vertical="center"/>
    </xf>
    <xf numFmtId="4" fontId="18" fillId="4" borderId="9" applyAlignment="1" pivotButton="0" quotePrefix="0" xfId="0">
      <alignment vertical="center"/>
    </xf>
    <xf numFmtId="0" fontId="23" fillId="0" borderId="6" applyAlignment="1" pivotButton="0" quotePrefix="0" xfId="0">
      <alignment vertical="center" wrapText="1"/>
    </xf>
    <xf numFmtId="0" fontId="24" fillId="4" borderId="26" applyAlignment="1" pivotButton="0" quotePrefix="0" xfId="0">
      <alignment vertical="center" wrapText="1"/>
    </xf>
    <xf numFmtId="0" fontId="20" fillId="4" borderId="26" applyAlignment="1" pivotButton="0" quotePrefix="0" xfId="0">
      <alignment horizontal="left" vertical="center" wrapText="1"/>
    </xf>
    <xf numFmtId="0" fontId="20" fillId="4" borderId="40" applyAlignment="1" pivotButton="0" quotePrefix="0" xfId="0">
      <alignment horizontal="left" vertical="center" wrapText="1"/>
    </xf>
    <xf numFmtId="0" fontId="25" fillId="0" borderId="6" applyAlignment="1" pivotButton="0" quotePrefix="0" xfId="0">
      <alignment horizontal="center" vertical="center" wrapText="1"/>
    </xf>
    <xf numFmtId="0" fontId="7" fillId="3" borderId="41" applyAlignment="1" pivotButton="0" quotePrefix="0" xfId="0">
      <alignment horizontal="center" vertical="center"/>
    </xf>
    <xf numFmtId="0" fontId="18" fillId="4" borderId="26" applyAlignment="1" pivotButton="0" quotePrefix="0" xfId="0">
      <alignment vertical="center" wrapText="1"/>
    </xf>
    <xf numFmtId="0" fontId="4" fillId="11" borderId="1" applyAlignment="1" pivotButton="0" quotePrefix="0" xfId="0">
      <alignment vertical="center"/>
    </xf>
    <xf numFmtId="4" fontId="4" fillId="11" borderId="1" applyAlignment="1" pivotButton="0" quotePrefix="0" xfId="0">
      <alignment vertical="center"/>
    </xf>
    <xf numFmtId="0" fontId="6" fillId="11" borderId="1" applyAlignment="1" pivotButton="0" quotePrefix="0" xfId="0">
      <alignment vertical="center"/>
    </xf>
    <xf numFmtId="0" fontId="22" fillId="0" borderId="1" pivotButton="0" quotePrefix="0" xfId="0"/>
    <xf numFmtId="164" fontId="7" fillId="5" borderId="35" applyAlignment="1" pivotButton="0" quotePrefix="0" xfId="0">
      <alignment vertical="center"/>
    </xf>
    <xf numFmtId="0" fontId="20" fillId="4" borderId="36" applyAlignment="1" pivotButton="0" quotePrefix="0" xfId="0">
      <alignment horizontal="left" vertical="center" wrapText="1"/>
    </xf>
    <xf numFmtId="0" fontId="18" fillId="4" borderId="7" applyAlignment="1" pivotButton="0" quotePrefix="0" xfId="0">
      <alignment vertical="center" wrapText="1"/>
    </xf>
    <xf numFmtId="0" fontId="26" fillId="2" borderId="1" applyAlignment="1" pivotButton="0" quotePrefix="0" xfId="0">
      <alignment horizontal="center" vertical="center"/>
    </xf>
    <xf numFmtId="0" fontId="18" fillId="4" borderId="42" applyAlignment="1" pivotButton="0" quotePrefix="0" xfId="0">
      <alignment vertical="center"/>
    </xf>
    <xf numFmtId="164" fontId="7" fillId="5" borderId="43" applyAlignment="1" pivotButton="0" quotePrefix="0" xfId="0">
      <alignment vertical="center"/>
    </xf>
    <xf numFmtId="0" fontId="18" fillId="4" borderId="44" applyAlignment="1" pivotButton="0" quotePrefix="0" xfId="0">
      <alignment horizontal="left" vertical="center" wrapText="1"/>
    </xf>
    <xf numFmtId="0" fontId="18" fillId="4" borderId="45" applyAlignment="1" pivotButton="0" quotePrefix="0" xfId="0">
      <alignment vertical="center"/>
    </xf>
    <xf numFmtId="0" fontId="18" fillId="4" borderId="46" applyAlignment="1" pivotButton="0" quotePrefix="0" xfId="0">
      <alignment horizontal="left" vertical="center" wrapText="1"/>
    </xf>
    <xf numFmtId="0" fontId="18" fillId="4" borderId="46" applyAlignment="1" pivotButton="0" quotePrefix="0" xfId="0">
      <alignment vertical="center" wrapText="1"/>
    </xf>
    <xf numFmtId="0" fontId="18" fillId="4" borderId="47" applyAlignment="1" pivotButton="0" quotePrefix="0" xfId="0">
      <alignment vertical="center"/>
    </xf>
    <xf numFmtId="164" fontId="18" fillId="4" borderId="48" applyAlignment="1" pivotButton="0" quotePrefix="0" xfId="0">
      <alignment vertical="center"/>
    </xf>
    <xf numFmtId="0" fontId="18" fillId="4" borderId="49" applyAlignment="1" pivotButton="0" quotePrefix="0" xfId="0">
      <alignment horizontal="left" vertical="center" wrapText="1"/>
    </xf>
    <xf numFmtId="0" fontId="0" fillId="0" borderId="56" pivotButton="0" quotePrefix="0" xfId="0"/>
    <xf numFmtId="0" fontId="0" fillId="0" borderId="57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9" pivotButton="0" quotePrefix="0" xfId="0"/>
    <xf numFmtId="0" fontId="0" fillId="0" borderId="54" pivotButton="0" quotePrefix="0" xfId="0"/>
    <xf numFmtId="0" fontId="0" fillId="0" borderId="62" pivotButton="0" quotePrefix="0" xfId="0"/>
    <xf numFmtId="0" fontId="0" fillId="0" borderId="63" pivotButton="0" quotePrefix="0" xfId="0"/>
    <xf numFmtId="0" fontId="0" fillId="0" borderId="5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10.1081081081081" customWidth="1" min="1" max="1"/>
    <col width="15.5765765765766" customWidth="1" min="2" max="2"/>
    <col width="60" customWidth="1" min="3" max="3"/>
    <col width="9" customWidth="1" min="4" max="4"/>
  </cols>
  <sheetData>
    <row r="1" ht="36" customHeight="1">
      <c r="A1" s="1" t="inlineStr">
        <is>
          <t>超大型土石方开挖运输成本测算表</t>
        </is>
      </c>
    </row>
    <row r="2" ht="14.25" customHeight="1"/>
    <row r="3">
      <c r="A3" s="2" t="inlineStr">
        <is>
          <t>【岩石选择】</t>
        </is>
      </c>
      <c r="B3" s="217" t="n"/>
      <c r="C3" s="218" t="n"/>
    </row>
    <row r="4" ht="44.25" customHeight="1">
      <c r="A4" s="5" t="inlineStr">
        <is>
          <t>岩石级别</t>
        </is>
      </c>
      <c r="B4" s="6" t="inlineStr">
        <is>
          <t>Ⅰ极软岩</t>
        </is>
      </c>
      <c r="C4" s="7" t="inlineStr">
        <is>
          <t>下拉选择岩石级别（Ⅰ~Ⅷ），自动匹配对应参数</t>
        </is>
      </c>
    </row>
    <row r="5" ht="24.75" customHeight="1">
      <c r="A5" s="5" t="inlineStr">
        <is>
          <t>普氏系数f</t>
        </is>
      </c>
      <c r="B5" s="8">
        <f>IFERROR(VLOOKUP(B4,'基础核心-参数库'!$E$3:$F$10,2,0),5)</f>
        <v/>
      </c>
      <c r="C5" s="7" t="inlineStr">
        <is>
          <t>数据来源: GB/T 50218-2014《工程岩体分级标准》普氏系数f = 岩石单轴抗压强度(MPa) ÷ 10</t>
        </is>
      </c>
    </row>
    <row r="6" ht="24.75" customHeight="1">
      <c r="A6" s="5" t="inlineStr">
        <is>
          <t>实体容重(t/m³)</t>
        </is>
      </c>
      <c r="B6" s="9">
        <f>IFERROR(VLOOKUP(B4,'基础核心-参数库'!$E$3:$G$10,3,0),2.45)</f>
        <v/>
      </c>
      <c r="C6" s="7" t="inlineStr">
        <is>
          <t>数据来源: 岩石力学手册/现场实测实体容重 = 岩石密度 × 重力加速度，取值2.3~2.7 t/m³</t>
        </is>
      </c>
    </row>
    <row r="7" ht="44.25" customHeight="1">
      <c r="A7" s="5" t="inlineStr">
        <is>
          <t>松散系数</t>
        </is>
      </c>
      <c r="B7" s="9">
        <f>IFERROR(VLOOKUP(B4,'基础核心-参数库'!$E$3:$H$10,4,0),1.42)</f>
        <v/>
      </c>
      <c r="C7" s="7" t="inlineStr">
        <is>
          <t>数据来源: 土石方工程定额实测松散系数 = 松散后体积 ÷ 天然密实体积，取值1.1~1.5</t>
        </is>
      </c>
    </row>
    <row r="8" ht="24.75" customHeight="1">
      <c r="A8" s="5" t="inlineStr">
        <is>
          <t>大块率</t>
        </is>
      </c>
      <c r="B8" s="10">
        <f>IFERROR(VLOOKUP(B4,'基础核心-参数库'!$E$3:$K$10,7,0),0.1)</f>
        <v/>
      </c>
      <c r="C8" s="7" t="inlineStr">
        <is>
          <t>数据来源: 爆破工程经验统计大块率 = 块径&gt;30cm的体积占比，f越大大块率越高</t>
        </is>
      </c>
    </row>
    <row r="9" ht="25.5" customHeight="1">
      <c r="A9" s="11" t="inlineStr">
        <is>
          <t>可预裂</t>
        </is>
      </c>
      <c r="B9" s="12">
        <f>IFERROR(VLOOKUP(B4,'基础核心-参数库'!$E$3:$L$10,8,0),"是")</f>
        <v/>
      </c>
      <c r="C9" s="13" t="inlineStr">
        <is>
          <t>判断逻辑: Ⅴ级及以上硬岩才需要预裂爆破预裂目的: 保护边坡稳定性，减少超欠挖</t>
        </is>
      </c>
    </row>
    <row r="10" ht="13.5" customHeight="1"/>
    <row r="11" ht="20.25" customHeight="1">
      <c r="A11" s="2" t="inlineStr">
        <is>
          <t>【工艺选择】</t>
        </is>
      </c>
      <c r="B11" s="217" t="n"/>
      <c r="C11" s="218" t="n"/>
    </row>
    <row r="12" ht="20.25" customHeight="1">
      <c r="A12" s="14" t="inlineStr">
        <is>
          <t>工艺选择</t>
        </is>
      </c>
      <c r="B12" s="6" t="inlineStr">
        <is>
          <t>直接开挖</t>
        </is>
      </c>
      <c r="C12" s="14" t="inlineStr">
        <is>
          <t>推荐工艺仅供参考，可手动选择其他工艺对比成本</t>
        </is>
      </c>
    </row>
    <row r="13" ht="12.75" customHeight="1">
      <c r="A13" s="14" t="inlineStr">
        <is>
          <t>推荐工艺</t>
        </is>
      </c>
      <c r="B13" s="15">
        <f>IFERROR(VLOOKUP(B4,'基础核心-参数库'!$E$3:$I$10,5,0),"爆破+开挖")</f>
        <v/>
      </c>
      <c r="C13" s="14" t="inlineStr">
        <is>
          <t>推荐逻辑: f≤2→直接开挖，f≤5→爆破+开挖，f&gt;5→爆破+二次破碎</t>
        </is>
      </c>
    </row>
    <row r="14" ht="41" customHeight="1">
      <c r="A14" s="14" t="inlineStr">
        <is>
          <t>工艺-岩石硬度匹配校验</t>
        </is>
      </c>
      <c r="B14" s="16">
        <f>IF(AND(B5&gt;6,B12="直接开挖"),"⚠极硬岩不宜直接开挖",IF(AND(B5&lt;2,B12="爆破+开挖"),"⚠极软岩不宜爆破,请选直接开挖或松土器","✅"))</f>
        <v/>
      </c>
      <c r="C14" s="14" t="inlineStr">
        <is>
          <t>f&gt;6直接开挖 → 警告，f&lt;2爆破开挖 → 警告。</t>
        </is>
      </c>
    </row>
    <row r="15" ht="13.5" customHeight="1"/>
    <row r="16">
      <c r="A16" s="2" t="inlineStr">
        <is>
          <t>【挖装设备选择】</t>
        </is>
      </c>
      <c r="B16" s="217" t="n"/>
      <c r="C16" s="218" t="n"/>
    </row>
    <row r="17" ht="12.75" customHeight="1">
      <c r="A17" s="5" t="inlineStr">
        <is>
          <t>挖机选择</t>
        </is>
      </c>
      <c r="B17" s="6" t="inlineStr">
        <is>
          <t>W4.5</t>
        </is>
      </c>
      <c r="C17" s="7" t="n"/>
    </row>
    <row r="18" ht="12.75" customHeight="1">
      <c r="A18" s="5" t="inlineStr">
        <is>
          <t>挖机来源</t>
        </is>
      </c>
      <c r="B18" s="6" t="inlineStr">
        <is>
          <t>自有</t>
        </is>
      </c>
      <c r="C18" s="7" t="n"/>
    </row>
    <row r="19" ht="13.5" customHeight="1">
      <c r="A19" s="11" t="inlineStr">
        <is>
          <t>推荐挖机</t>
        </is>
      </c>
      <c r="B19" s="17">
        <f>IFERROR(INDEX('合理建议表-推荐规则'!$D$3:$D$8,MATCH(B5,'合理建议表-推荐规则'!$A$3:$A$8,1)),"W4.5")</f>
        <v/>
      </c>
      <c r="C19" s="13" t="inlineStr">
        <is>
          <t>推荐逻辑: f=1~3→W3.2/W4.5, f=5~8→W5.5挖机斗容与岩石硬度正相关</t>
        </is>
      </c>
    </row>
    <row r="20" ht="13.5" customHeight="1"/>
    <row r="21">
      <c r="A21" s="2" t="inlineStr">
        <is>
          <t>【运输设备选择】</t>
        </is>
      </c>
      <c r="B21" s="217" t="n"/>
      <c r="C21" s="218" t="n"/>
    </row>
    <row r="22" ht="24.75" customHeight="1">
      <c r="A22" s="5" t="inlineStr">
        <is>
          <t>推荐矿卡</t>
        </is>
      </c>
      <c r="B22" s="15">
        <f t="array" ref="B22">IF(OR(B37="下坡",B39="下坡"),"推荐纯电："&amp;IFERROR(INDEX('合理建议表-推荐规则'!$J$3:$J$8,MATCH(B5,'合理建议表-推荐规则'!$A$3:$A$8,1)),""),"推荐柴油："&amp;IFERROR(INDEX('合理建议表-推荐规则'!$K$3:$K$8,MATCH(B5,'合理建议表-推荐规则'!$A$3:$A$8,1)),""))</f>
        <v/>
      </c>
      <c r="C22" s="7" t="inlineStr">
        <is>
          <t>运距≤3km→T65B(短中途), 运距&gt;8km→T91B(长途); 电动条件下推荐E60Y/E75T/E93L</t>
        </is>
      </c>
    </row>
    <row r="23" ht="12.75" customHeight="1">
      <c r="A23" s="5" t="inlineStr">
        <is>
          <t>矿卡选择</t>
        </is>
      </c>
      <c r="B23" s="6" t="inlineStr">
        <is>
          <t>T65B</t>
        </is>
      </c>
      <c r="C23" s="7" t="inlineStr">
        <is>
          <t>代号规则：T=柴油/E=纯电 + 载重吨位 + 品牌首字母。</t>
        </is>
      </c>
    </row>
    <row r="24" ht="12.75" customHeight="1">
      <c r="A24" s="5" t="inlineStr">
        <is>
          <t>矿卡来源</t>
        </is>
      </c>
      <c r="B24" s="6" t="inlineStr">
        <is>
          <t>自有</t>
        </is>
      </c>
      <c r="C24" s="7" t="n"/>
    </row>
    <row r="25" ht="13.5" customHeight="1">
      <c r="A25" s="11" t="inlineStr">
        <is>
          <t>矿卡与运距选择匹配度</t>
        </is>
      </c>
      <c r="B25" s="12">
        <f>IF(AND(B36&gt;10,IFERROR(VLOOKUP(B23,'基础核心-参数库'!$A$40:$D$47,4,0),0)&lt;60),"⚠运距长矿卡偏小",IF(AND(B36&lt;3,IFERROR(VLOOKUP(B23,'基础核心-参数库'!$A$40:$D$47,4,0),0)&gt;60),"⚠矿卡偏大不经济","✅"))</f>
        <v/>
      </c>
      <c r="C25" s="13" t="inlineStr">
        <is>
          <t>运距&gt;10km矿卡&lt;60t → 警告，运距&lt;3km矿卡&gt;60t → 警告</t>
        </is>
      </c>
    </row>
    <row r="26" ht="13.5" customHeight="1"/>
    <row r="27">
      <c r="A27" s="2" t="inlineStr">
        <is>
          <t>【钻孔设备选择】</t>
        </is>
      </c>
      <c r="B27" s="217" t="n"/>
      <c r="C27" s="218" t="n"/>
    </row>
    <row r="28" ht="24.75" customHeight="1">
      <c r="A28" s="5" t="inlineStr">
        <is>
          <t>推荐钻机</t>
        </is>
      </c>
      <c r="B28" s="15">
        <f>IF(AND(B47&gt;15),"KY200",IF(OR(B12="爆破+开挖",B12="爆破+二次破碎+开挖"),IFERROR(INDEX('合理建议表-推荐规则'!$H$3:$H$8,MATCH(B5,'合理建议表-推荐规则'!$A$3:$A$8,1)),"ZG90"),"—"))</f>
        <v/>
      </c>
      <c r="C28" s="7" t="inlineStr">
        <is>
          <t>推荐逻辑: f≤3→ZG90, f≤5→ZG120, f&gt;5→ZG150/牙轮硬岩需要更大扭矩钻机。</t>
        </is>
      </c>
    </row>
    <row r="29" ht="12.75" customHeight="1">
      <c r="A29" s="5" t="inlineStr">
        <is>
          <t>钻机选择</t>
        </is>
      </c>
      <c r="B29" s="6" t="inlineStr">
        <is>
          <t>ZG90</t>
        </is>
      </c>
      <c r="C29" s="7" t="n"/>
    </row>
    <row r="30" ht="12.75" customHeight="1">
      <c r="A30" s="5" t="inlineStr">
        <is>
          <t>钻机来源</t>
        </is>
      </c>
      <c r="B30" s="6" t="inlineStr">
        <is>
          <t>自有</t>
        </is>
      </c>
      <c r="C30" s="7" t="n"/>
    </row>
    <row r="31" ht="25.5" customHeight="1">
      <c r="A31" s="11" t="inlineStr">
        <is>
          <t>钻机型号-台阶高度匹配校验</t>
        </is>
      </c>
      <c r="B31" s="12">
        <f>IF(AND(B47&gt;15,IFERROR(VLOOKUP(B29,'基础核心-参数库'!$A$51:$O$58,15,0),"潜孔")="潜孔"),"⚠台阶&gt;15m宜选用牙轮钻机(KY200/KY250)","✅")</f>
        <v/>
      </c>
      <c r="C31" s="13" t="inlineStr">
        <is>
          <t>钻机选择与台阶高度匹配度：台阶&gt;15m用中小型钻机 → 警告</t>
        </is>
      </c>
    </row>
    <row r="32" ht="13.5" customHeight="1"/>
    <row r="33" ht="13.5" customHeight="1">
      <c r="A33" s="18" t="inlineStr">
        <is>
          <t>【运输参数选择】</t>
        </is>
      </c>
      <c r="B33" s="219" t="n"/>
      <c r="C33" s="220" t="n"/>
    </row>
    <row r="34" ht="12.75" customHeight="1">
      <c r="A34" s="21" t="inlineStr">
        <is>
          <t>场内距离(km)</t>
        </is>
      </c>
      <c r="B34" s="22" t="n">
        <v>2.1</v>
      </c>
      <c r="C34" s="23" t="n"/>
    </row>
    <row r="35" ht="12.75" customHeight="1">
      <c r="A35" s="21" t="inlineStr">
        <is>
          <t>场外距离(km)</t>
        </is>
      </c>
      <c r="B35" s="22" t="n">
        <v>5</v>
      </c>
      <c r="C35" s="23" t="n"/>
    </row>
    <row r="36" ht="24.75" customHeight="1">
      <c r="A36" s="21" t="inlineStr">
        <is>
          <t>总运距(km)</t>
        </is>
      </c>
      <c r="B36" s="24">
        <f>B34+B35</f>
        <v/>
      </c>
      <c r="C36" s="23" t="inlineStr">
        <is>
          <t>经济运距: 自卸车合理运距≤5km，超过考虑皮带/铁路。场内倒运一般0.5~2km</t>
        </is>
      </c>
    </row>
    <row r="37" ht="12.75" customHeight="1">
      <c r="A37" s="21" t="inlineStr">
        <is>
          <t>场内重车方向</t>
        </is>
      </c>
      <c r="B37" s="22" t="inlineStr">
        <is>
          <t>平路</t>
        </is>
      </c>
      <c r="C37" s="23" t="inlineStr">
        <is>
          <t>选择平路则坡度应在2%，上下坡坡度应在15%以内。</t>
        </is>
      </c>
    </row>
    <row r="38" ht="12.75" customHeight="1">
      <c r="A38" s="21" t="inlineStr">
        <is>
          <t>场内坡度(%)</t>
        </is>
      </c>
      <c r="B38" s="22" t="n">
        <v>1.5</v>
      </c>
      <c r="C38" s="23" t="n"/>
    </row>
    <row r="39" ht="12.75" customHeight="1">
      <c r="A39" s="21" t="inlineStr">
        <is>
          <t>场外重车方向</t>
        </is>
      </c>
      <c r="B39" s="22" t="inlineStr">
        <is>
          <t>平路</t>
        </is>
      </c>
      <c r="C39" s="23" t="inlineStr">
        <is>
          <t>选择平路则坡度应在2%，上下坡坡度应在15%以内。</t>
        </is>
      </c>
    </row>
    <row r="40" ht="12.75" customHeight="1">
      <c r="A40" s="21" t="inlineStr">
        <is>
          <t>场外坡度(%)</t>
        </is>
      </c>
      <c r="B40" s="22" t="n">
        <v>1</v>
      </c>
      <c r="C40" s="23" t="n"/>
    </row>
    <row r="41" ht="24.75" customHeight="1">
      <c r="A41" s="25" t="inlineStr">
        <is>
          <t>道路坡度-行驶方向匹配校验</t>
        </is>
      </c>
      <c r="B41" s="26">
        <f>IF(AND(B37="平路",B38&gt;2),"⚠平路场内坡度应≤2%",IF(AND(B37&lt;&gt;"平路",B38&lt;2),"⚠上/下坡场内坡度应≥2%",IF(B38&gt;15,"⚠场内坡度&gt;15%",IF(AND(B39="平路",B40&gt;2),"⚠平路场外坡度应≤2%",IF(AND(B39&lt;&gt;"平路",B40&lt;2),"⚠上/下场外坡度应≥2%",IF(B40&gt;15,"⚠场外坡度&gt;15%","✅"))))))</f>
        <v/>
      </c>
      <c r="C41" s="27" t="inlineStr">
        <is>
          <t>坡度与方向匹配度：平路坡度&gt;2% → 警告，上下坡坡度&lt;2% → 警告</t>
        </is>
      </c>
    </row>
    <row r="42" ht="13.5" customHeight="1">
      <c r="A42" s="28" t="n"/>
      <c r="B42" s="28" t="n"/>
      <c r="C42" s="28" t="n"/>
    </row>
    <row r="43">
      <c r="A43" s="2" t="inlineStr">
        <is>
          <t>【爆破设计参数规划】</t>
        </is>
      </c>
      <c r="B43" s="217" t="n"/>
      <c r="C43" s="218" t="n"/>
    </row>
    <row r="44" ht="12.75" customHeight="1">
      <c r="A44" s="14" t="inlineStr">
        <is>
          <t>爆破区域长度(m)</t>
        </is>
      </c>
      <c r="B44" s="6" t="n">
        <v>50</v>
      </c>
      <c r="C44" s="14" t="inlineStr">
        <is>
          <t>沿台阶走向的一次爆破长度，用于分摊预裂费用</t>
        </is>
      </c>
    </row>
    <row r="45" ht="12.75" customHeight="1">
      <c r="A45" s="14" t="inlineStr">
        <is>
          <t>爆破区域宽度(m)</t>
        </is>
      </c>
      <c r="B45" s="6" t="n">
        <v>20</v>
      </c>
      <c r="C45" s="14" t="inlineStr">
        <is>
          <t>从预裂孔到最后排主爆孔的总深度</t>
        </is>
      </c>
    </row>
    <row r="46" ht="12.75" customHeight="1">
      <c r="A46" s="14" t="inlineStr">
        <is>
          <t>缓冲孔排数</t>
        </is>
      </c>
      <c r="B46" s="6" t="n">
        <v>1</v>
      </c>
      <c r="C46" s="14" t="inlineStr">
        <is>
          <t>预裂爆破时在预裂孔后方设置的缓冲孔排数</t>
        </is>
      </c>
    </row>
    <row r="47" ht="12.75" customHeight="1">
      <c r="A47" s="14" t="inlineStr">
        <is>
          <t>台阶高度H(m)</t>
        </is>
      </c>
      <c r="B47" s="6" t="n">
        <v>10</v>
      </c>
      <c r="C47" s="14" t="inlineStr">
        <is>
          <t>合理范围: 5~15m，推荐8~12m台阶太高→安全风险，太低→施工效率低</t>
        </is>
      </c>
    </row>
    <row r="48" ht="24.75" customHeight="1">
      <c r="A48" s="14" t="inlineStr">
        <is>
          <t>台阶坡面角α(°)</t>
        </is>
      </c>
      <c r="B48" s="6" t="n">
        <v>75</v>
      </c>
      <c r="C48" s="14" t="inlineStr">
        <is>
          <t>经验取值: 65°~80°，土质边坡≤60°，岩质边坡≤80°坡面角越小，边坡越稳定</t>
        </is>
      </c>
    </row>
    <row r="49" ht="24.75" customHeight="1">
      <c r="A49" s="14" t="inlineStr">
        <is>
          <t>钻孔倾角(°)</t>
        </is>
      </c>
      <c r="B49" s="6" t="n">
        <v>90</v>
      </c>
      <c r="C49" s="14" t="inlineStr">
        <is>
          <t>钻孔倾角: 垂直孔90°，倾斜孔70°~85°倾斜孔有利于根底处理，但钻孔难度大</t>
        </is>
      </c>
    </row>
    <row r="50" ht="24.75" customHeight="1">
      <c r="A50" s="14" t="inlineStr">
        <is>
          <t>布孔形式</t>
        </is>
      </c>
      <c r="B50" s="6" t="inlineStr">
        <is>
          <t>矩形</t>
        </is>
      </c>
      <c r="C50" s="14" t="inlineStr">
        <is>
          <t>布孔形式: 矩形布孔简单，梅花形布孔更均匀宽孔距布孔a/W1=1.5~2.0，降低大块率</t>
        </is>
      </c>
    </row>
    <row r="51" ht="24.75" customHeight="1">
      <c r="A51" s="14" t="inlineStr">
        <is>
          <t>推荐孔径(mm)</t>
        </is>
      </c>
      <c r="B51" s="15">
        <f>IF(OR(B12="爆破+开挖",B12="爆破+二次破碎+开挖"),IFERROR(INDEX('合理建议表-推荐规则'!$I$3:$I$8,MATCH(B5,'合理建议表-推荐规则'!$A$3:$A$8,1)),90),"—")</f>
        <v/>
      </c>
      <c r="C51" s="14" t="inlineStr">
        <is>
          <t>推荐公式: f=1→90mm, f=3→115mm, f=5→138mm, f=8→165mm孔径与台阶高度匹配: H≤10m→90~115mm</t>
        </is>
      </c>
    </row>
    <row r="52" ht="12.75" customHeight="1">
      <c r="A52" s="14" t="inlineStr">
        <is>
          <t>孔径选择(mm)</t>
        </is>
      </c>
      <c r="B52" s="6" t="n">
        <v>90</v>
      </c>
      <c r="C52" s="14" t="n"/>
    </row>
    <row r="53" ht="24.75" customHeight="1">
      <c r="A53" s="14" t="inlineStr">
        <is>
          <t>是否预裂</t>
        </is>
      </c>
      <c r="B53" s="6" t="inlineStr">
        <is>
          <t>否</t>
        </is>
      </c>
      <c r="C53" s="14" t="inlineStr">
        <is>
          <t>判断逻辑: 只有Ⅴ~Ⅷ级硬岩且边坡有保护要求才预裂预裂增加成本约15~20%，需权衡</t>
        </is>
      </c>
    </row>
    <row r="54" ht="161.25" customHeight="1">
      <c r="A54" s="14" t="inlineStr">
        <is>
          <t>台阶高度合理性判断</t>
        </is>
      </c>
      <c r="B54" s="29">
        <f>IF(B47&gt;15,"⚠台阶高度偏大,建议5~15m",IF(B47&lt;5,"⚠台阶高度偏小,建议≥5m",IF(AND(B52&lt;90,B47&gt;12),"⚠孔径偏小与台阶不匹配",IF(AND(B47&gt;15,B52&lt;115),"⚠台阶&gt;15m建议孔径≥115mm","✅"))))</f>
        <v/>
      </c>
      <c r="C54" s="14" t="inlineStr">
        <is>
          <t>超高/偏低/孔径不匹配 → 警告
情况1：台阶太高：如果台阶高度超过15米→ 提示："台阶高度偏大,建议5~15m"。台阶太高不安全，爆破效果也不好，太高了钻机也够不着。一般露天矿山台阶高度都是5~15米。
情况2：台阶太低：如果台阶高度小于5米→ 提示："台阶高度偏小,建议≥5m"。台阶太低了浪费钻孔，施工效率也低。钻一个10米深的孔和钻一个3米深的孔，钻机辅助时间差不多。
情况3：小孔钻深孔如果孔径不到90mm，但台阶超过12米→ 提示："孔径偏小与台阶不匹配"。就像用细筷子捅深洞，容易断。小孔径钻深孔，钻杆挠度太大，容易偏斜甚至卡钻。
情况4：高台阶必须配大孔径：如果台阶超过15米，但孔径还不到115mm→ 提示："台阶&gt;15m建议孔径≥115mm"。高台阶装药量大，需要大孔径才能装下。同时深孔也需要大直径钻杆保证刚性。</t>
        </is>
      </c>
    </row>
    <row r="55" ht="13.5" customHeight="1"/>
    <row r="56">
      <c r="A56" s="2" t="inlineStr">
        <is>
          <t>【直接成本汇总】</t>
        </is>
      </c>
      <c r="B56" s="217" t="n"/>
      <c r="C56" s="218" t="n"/>
    </row>
    <row r="57" ht="30" customHeight="1">
      <c r="A57" s="14" t="inlineStr">
        <is>
          <t>爆破费(元/方)</t>
        </is>
      </c>
      <c r="B57" s="30">
        <f>IF(AND(B5&lt;2,OR(B12="爆破+开挖",B12="爆破+二次破碎+开挖")),0,IF(OR(B12="爆破+开挖",B12="爆破+二次破碎+开挖"),'计算明细表-钻爆成本'!$B$2,0))</f>
        <v/>
      </c>
      <c r="C57" s="14" t="inlineStr">
        <is>
          <t>条件判断: f&lt;2时不计算爆破费用钻孔爆破费 = 钻机费 + 材料费 + 人工费 + 其他费</t>
        </is>
      </c>
    </row>
    <row r="58" ht="30" customHeight="1">
      <c r="A58" s="14" t="inlineStr">
        <is>
          <t>开挖费(元/方)</t>
        </is>
      </c>
      <c r="B58" s="30">
        <f>'计算明细表-挖装成本'!$B$2</f>
        <v/>
      </c>
      <c r="C58" s="14" t="inlineStr">
        <is>
          <t>挖机台班费÷台班产量实方</t>
        </is>
      </c>
    </row>
    <row r="59" ht="30" customHeight="1">
      <c r="A59" s="14" t="inlineStr">
        <is>
          <t>运输费(元/方)</t>
        </is>
      </c>
      <c r="B59" s="30">
        <f>'计算明细表-运输成本'!$B$2</f>
        <v/>
      </c>
      <c r="C59" s="14" t="inlineStr">
        <is>
          <t>矿卡台班费÷台班运输量（运距为0时运输费=0）</t>
        </is>
      </c>
    </row>
    <row r="60" ht="30" customHeight="1">
      <c r="A60" s="14" t="inlineStr">
        <is>
          <t>松土费(元/方)</t>
        </is>
      </c>
      <c r="B60" s="30">
        <f>IF(B12="松土器松土+开挖",'计算明细表-钩机松土成本'!$B$2,0)</f>
        <v/>
      </c>
      <c r="C60" s="14" t="inlineStr">
        <is>
          <t>挖机台班费÷松土器台班产量+齿尖耗材费</t>
        </is>
      </c>
    </row>
    <row r="61" ht="30" customHeight="1">
      <c r="A61" s="14" t="inlineStr">
        <is>
          <t>破碎费(元/方)</t>
        </is>
      </c>
      <c r="B61" s="30">
        <f>IF(B12="机械破碎+开挖",'计算明细表-机械破碎成本'!$B$2,0)</f>
        <v/>
      </c>
      <c r="C61" s="14" t="inlineStr">
        <is>
          <t>挖机台班费÷破碎台班产量+钎杆耗材费</t>
        </is>
      </c>
    </row>
    <row r="62" ht="30" customHeight="1">
      <c r="A62" s="14" t="inlineStr">
        <is>
          <t>二次破碎费(元/方)</t>
        </is>
      </c>
      <c r="B62" s="30">
        <f>IF(B12="爆破+二次破碎+开挖",'计算明细表-机械破碎成本'!$B$2*B8,0)</f>
        <v/>
      </c>
      <c r="C62" s="14" t="inlineStr">
        <is>
          <t>破碎费×大块率（仅爆破+二次破碎+开挖工艺）</t>
        </is>
      </c>
    </row>
    <row r="63" ht="30" customHeight="1">
      <c r="A63" s="14" t="inlineStr">
        <is>
          <t>渣场费(元/方)</t>
        </is>
      </c>
      <c r="B63" s="30">
        <f>'基础核心-参数库'!$B$11</f>
        <v/>
      </c>
      <c r="C63" s="14" t="inlineStr">
        <is>
          <t>固定值0.5元/方（可在参数库修改）</t>
        </is>
      </c>
    </row>
    <row r="64" ht="30" customHeight="1">
      <c r="A64" s="14" t="inlineStr">
        <is>
          <t>综合单价(不含税)</t>
        </is>
      </c>
      <c r="B64" s="31">
        <f>SUM(B57:B63)</f>
        <v/>
      </c>
      <c r="C64" s="14" t="inlineStr">
        <is>
          <t>综合单价(不含税) = 直接成本SUM(B58:B64)</t>
        </is>
      </c>
    </row>
    <row r="65" ht="30" customHeight="1">
      <c r="A65" s="14" t="inlineStr">
        <is>
          <t>综合单价(含税)</t>
        </is>
      </c>
      <c r="B65" s="31">
        <f>B64*(1+'基础核心-参数库'!$B$20)</f>
        <v/>
      </c>
      <c r="C65" s="14" t="inlineStr">
        <is>
          <t>参数表基本参数税金设置</t>
        </is>
      </c>
    </row>
  </sheetData>
  <mergeCells count="9">
    <mergeCell ref="A33:C33"/>
    <mergeCell ref="A11:C11"/>
    <mergeCell ref="A1:C1"/>
    <mergeCell ref="A56:C56"/>
    <mergeCell ref="A27:C27"/>
    <mergeCell ref="A3:C3"/>
    <mergeCell ref="A21:C21"/>
    <mergeCell ref="A43:C43"/>
    <mergeCell ref="A16:C16"/>
  </mergeCells>
  <conditionalFormatting sqref="B14">
    <cfRule type="expression" priority="1" stopIfTrue="0">
      <formula>NOT(ISERROR(SEARCH("✓",B14)))</formula>
    </cfRule>
    <cfRule type="expression" priority="2" stopIfTrue="0">
      <formula>NOT(ISERROR(SEARCH("✓",B14)))</formula>
    </cfRule>
  </conditionalFormatting>
  <dataValidations count="12">
    <dataValidation sqref="B4" showDropDown="0" showInputMessage="0" showErrorMessage="0" allowBlank="1" type="list">
      <formula1>'基础核心-参数库'!$E$3:$E$10</formula1>
    </dataValidation>
    <dataValidation sqref="B12" showDropDown="0" showInputMessage="0" showErrorMessage="0" allowBlank="1" type="list">
      <formula1>"直接开挖,松土器松土+开挖,机械破碎+开挖,爆破+开挖,爆破+二次破碎+开挖"</formula1>
    </dataValidation>
    <dataValidation sqref="B17" showDropDown="0" showInputMessage="0" showErrorMessage="0" allowBlank="1" type="list">
      <formula1>'基础核心-参数库'!$A$26:$A$36</formula1>
    </dataValidation>
    <dataValidation sqref="B18 B24 B30" showDropDown="0" showInputMessage="0" showErrorMessage="0" allowBlank="1" type="list">
      <formula1>"自有,租赁"</formula1>
    </dataValidation>
    <dataValidation sqref="B23" showDropDown="0" showInputMessage="0" showErrorMessage="0" allowBlank="1" type="list">
      <formula1>'基础核心-参数库'!$A$40:$A$47</formula1>
    </dataValidation>
    <dataValidation sqref="B29" showDropDown="0" showInputMessage="0" showErrorMessage="0" allowBlank="1" type="list">
      <formula1>'基础核心-参数库'!$A$63:$A$84</formula1>
    </dataValidation>
    <dataValidation sqref="B34" showDropDown="0" showInputMessage="0" showErrorMessage="0" allowBlank="0" type="decimal" operator="between">
      <formula1>0</formula1>
      <formula2>30</formula2>
    </dataValidation>
    <dataValidation sqref="B35" showDropDown="0" showInputMessage="0" showErrorMessage="0" allowBlank="0" type="decimal" operator="between">
      <formula1>0</formula1>
      <formula2>50</formula2>
    </dataValidation>
    <dataValidation sqref="B38 B40" showDropDown="0" showInputMessage="0" showErrorMessage="0" allowBlank="0" type="decimal" operator="between">
      <formula1>0</formula1>
      <formula2>15</formula2>
    </dataValidation>
    <dataValidation sqref="B46" showDropDown="0" showInputMessage="0" showErrorMessage="0" allowBlank="1" type="list">
      <formula1>"0,1,2"</formula1>
    </dataValidation>
    <dataValidation sqref="B47" showDropDown="0" showInputMessage="0" showErrorMessage="0" allowBlank="0" type="decimal" operator="between">
      <formula1>5</formula1>
      <formula2>20</formula2>
    </dataValidation>
    <dataValidation sqref="B52" showDropDown="0" showInputMessage="0" showErrorMessage="0" allowBlank="1" type="list">
      <formula1>"70,90,115,150,200,250"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9"/>
  <sheetViews>
    <sheetView workbookViewId="0">
      <selection activeCell="A1" sqref="A1"/>
    </sheetView>
  </sheetViews>
  <sheetFormatPr baseColWidth="8" defaultRowHeight="15"/>
  <cols>
    <col width="18.5765765765766" customWidth="1" min="1" max="1"/>
    <col width="14" customWidth="1" min="2" max="2"/>
    <col width="18" customWidth="1" min="3" max="3"/>
    <col width="14" customWidth="1" min="4" max="4"/>
    <col width="16.5765765765766" customWidth="1" min="10" max="10"/>
    <col width="12.2792792792793" customWidth="1" min="11" max="11"/>
    <col width="14" customWidth="1" min="12" max="12"/>
    <col width="9" customWidth="1" min="17" max="17"/>
    <col width="23.018018018018" customWidth="1" min="25" max="25"/>
    <col width="22" customWidth="1" min="26" max="26"/>
    <col width="52.3603603603604" customWidth="1" min="27" max="27"/>
    <col width="65" customWidth="1" min="28" max="28"/>
    <col width="9" customWidth="1" min="29" max="29"/>
  </cols>
  <sheetData>
    <row r="1" ht="18.4" customHeight="1">
      <c r="A1" s="32" t="inlineStr">
        <is>
          <t>【基础价格参数】</t>
        </is>
      </c>
      <c r="B1" s="217" t="n"/>
      <c r="C1" s="221" t="n"/>
      <c r="D1" s="32" t="inlineStr">
        <is>
          <t>【岩石分类及开采工艺规则】</t>
        </is>
      </c>
      <c r="E1" s="217" t="n"/>
      <c r="F1" s="217" t="n"/>
      <c r="G1" s="217" t="n"/>
      <c r="H1" s="217" t="n"/>
      <c r="I1" s="217" t="n"/>
      <c r="J1" s="217" t="n"/>
      <c r="K1" s="217" t="n"/>
      <c r="L1" s="221" t="n"/>
      <c r="M1" s="34" t="inlineStr">
        <is>
          <t>【工艺错配惩罚系数表】</t>
        </is>
      </c>
      <c r="N1" s="217" t="n"/>
      <c r="O1" s="218" t="n"/>
      <c r="Y1" s="35" t="inlineStr">
        <is>
          <t>【通用常量区】</t>
        </is>
      </c>
      <c r="Z1" s="219" t="n"/>
      <c r="AA1" s="220" t="n"/>
    </row>
    <row r="2" ht="24.85" customHeight="1">
      <c r="A2" s="36" t="inlineStr">
        <is>
          <t>参数名称</t>
        </is>
      </c>
      <c r="B2" s="37" t="inlineStr">
        <is>
          <t>数值</t>
        </is>
      </c>
      <c r="C2" s="38" t="inlineStr">
        <is>
          <t>单位</t>
        </is>
      </c>
      <c r="D2" s="36" t="inlineStr">
        <is>
          <t>岩石名称</t>
        </is>
      </c>
      <c r="E2" s="37" t="inlineStr">
        <is>
          <t>岩石级别</t>
        </is>
      </c>
      <c r="F2" s="37" t="inlineStr">
        <is>
          <t>普氏系数f</t>
        </is>
      </c>
      <c r="G2" s="37" t="inlineStr">
        <is>
          <t>实体容重(t/m³)</t>
        </is>
      </c>
      <c r="H2" s="37" t="inlineStr">
        <is>
          <t>松散系数</t>
        </is>
      </c>
      <c r="I2" s="37" t="inlineStr">
        <is>
          <t>推荐工艺</t>
        </is>
      </c>
      <c r="J2" s="37" t="inlineStr">
        <is>
          <t>其他可选工艺</t>
        </is>
      </c>
      <c r="K2" s="37" t="inlineStr">
        <is>
          <t>爆破大块率</t>
        </is>
      </c>
      <c r="L2" s="38" t="inlineStr">
        <is>
          <t>可预裂</t>
        </is>
      </c>
      <c r="M2" s="39" t="inlineStr">
        <is>
          <t>偏离类型</t>
        </is>
      </c>
      <c r="N2" s="40" t="inlineStr">
        <is>
          <t>效率折减</t>
        </is>
      </c>
      <c r="O2" s="41" t="inlineStr">
        <is>
          <t>耗材费倍率</t>
        </is>
      </c>
      <c r="Y2" s="42" t="inlineStr">
        <is>
          <t>参数名称</t>
        </is>
      </c>
      <c r="Z2" s="43" t="inlineStr">
        <is>
          <t>数值</t>
        </is>
      </c>
      <c r="AA2" s="44" t="inlineStr">
        <is>
          <t>说明/备注</t>
        </is>
      </c>
    </row>
    <row r="3" ht="37.3" customHeight="1">
      <c r="A3" s="5" t="inlineStr">
        <is>
          <t>柴油单价</t>
        </is>
      </c>
      <c r="B3" s="45" t="n">
        <v>7.5</v>
      </c>
      <c r="C3" s="46" t="inlineStr">
        <is>
          <t>元/L</t>
        </is>
      </c>
      <c r="D3" s="5" t="inlineStr">
        <is>
          <t>全风化花岗岩</t>
        </is>
      </c>
      <c r="E3" s="14" t="inlineStr">
        <is>
          <t>Ⅰ极软岩</t>
        </is>
      </c>
      <c r="F3" s="45" t="n">
        <v>0.5</v>
      </c>
      <c r="G3" s="45" t="n">
        <v>1.75</v>
      </c>
      <c r="H3" s="45" t="n">
        <v>1.15</v>
      </c>
      <c r="I3" s="47" t="inlineStr">
        <is>
          <t>直接开挖</t>
        </is>
      </c>
      <c r="J3" s="47" t="inlineStr">
        <is>
          <t>松土器松土+开挖</t>
        </is>
      </c>
      <c r="K3" s="48" t="n">
        <v>0</v>
      </c>
      <c r="L3" s="7" t="inlineStr">
        <is>
          <t>否</t>
        </is>
      </c>
      <c r="M3" s="5" t="inlineStr">
        <is>
          <t>爆破→松土</t>
        </is>
      </c>
      <c r="N3" s="49" t="n">
        <v>0.2</v>
      </c>
      <c r="O3" s="50" t="n">
        <v>3</v>
      </c>
      <c r="Y3" s="51" t="inlineStr">
        <is>
          <t>矿用运输车折旧维修系数</t>
        </is>
      </c>
      <c r="Z3" s="52" t="n">
        <v>1.3</v>
      </c>
      <c r="AA3" s="53" t="inlineStr">
        <is>
          <t>运输B68：露天矿1.3~1.8（含日常保养+二级维护）；井下/恶劣矿2.5 | 矿卡折旧维修系数（合同校准）：露天精益承包商下限</t>
        </is>
      </c>
    </row>
    <row r="4" ht="24.85" customHeight="1">
      <c r="A4" s="5" t="inlineStr">
        <is>
          <t>电价(平均)</t>
        </is>
      </c>
      <c r="B4" s="45" t="n">
        <v>0.65</v>
      </c>
      <c r="C4" s="46" t="inlineStr">
        <is>
          <t>元/kWh</t>
        </is>
      </c>
      <c r="D4" s="5" t="inlineStr">
        <is>
          <t>泥岩</t>
        </is>
      </c>
      <c r="E4" s="14" t="inlineStr">
        <is>
          <t>Ⅱ软岩</t>
        </is>
      </c>
      <c r="F4" s="45" t="n">
        <v>1.5</v>
      </c>
      <c r="G4" s="45" t="n">
        <v>2.1</v>
      </c>
      <c r="H4" s="45" t="n">
        <v>1.25</v>
      </c>
      <c r="I4" s="47" t="inlineStr">
        <is>
          <t>松土器松土+开挖</t>
        </is>
      </c>
      <c r="J4" s="47" t="inlineStr">
        <is>
          <t>直接开挖,机械破碎+开挖</t>
        </is>
      </c>
      <c r="K4" s="48" t="n">
        <v>0</v>
      </c>
      <c r="L4" s="7" t="inlineStr">
        <is>
          <t>否</t>
        </is>
      </c>
      <c r="M4" s="5" t="inlineStr">
        <is>
          <t>爆破→破碎</t>
        </is>
      </c>
      <c r="N4" s="49" t="n">
        <v>0.5</v>
      </c>
      <c r="O4" s="50" t="n">
        <v>2</v>
      </c>
      <c r="Y4" s="51" t="inlineStr">
        <is>
          <t>挖掘机折旧维修系数</t>
        </is>
      </c>
      <c r="Z4" s="52" t="n">
        <v>1.5</v>
      </c>
      <c r="AA4" s="53" t="inlineStr">
        <is>
          <t>挖装B28：含液压系统大修+磨耗件，露天1.5~1.8 | 挖掘机折旧维修系数（合同校准）：露天典型中位</t>
        </is>
      </c>
    </row>
    <row r="5" ht="24.85" customHeight="1">
      <c r="A5" s="5" t="inlineStr">
        <is>
          <t>司机机手工日单价</t>
        </is>
      </c>
      <c r="B5" s="45" t="n">
        <v>300</v>
      </c>
      <c r="C5" s="46" t="inlineStr">
        <is>
          <t>元/工日</t>
        </is>
      </c>
      <c r="D5" s="5" t="inlineStr">
        <is>
          <t>强风化砂岩</t>
        </is>
      </c>
      <c r="E5" s="14" t="inlineStr">
        <is>
          <t>Ⅲ较软岩</t>
        </is>
      </c>
      <c r="F5" s="45" t="n">
        <v>3</v>
      </c>
      <c r="G5" s="45" t="n">
        <v>2.3</v>
      </c>
      <c r="H5" s="45" t="n">
        <v>1.35</v>
      </c>
      <c r="I5" s="47" t="inlineStr">
        <is>
          <t>松土器松土+开挖</t>
        </is>
      </c>
      <c r="J5" s="47" t="inlineStr">
        <is>
          <t>直接开挖,机械破碎+开挖,爆破+开挖</t>
        </is>
      </c>
      <c r="K5" s="48" t="n">
        <v>0</v>
      </c>
      <c r="L5" s="7" t="inlineStr">
        <is>
          <t>否</t>
        </is>
      </c>
      <c r="M5" s="5" t="inlineStr">
        <is>
          <t>松土→爆破</t>
        </is>
      </c>
      <c r="N5" s="49" t="n">
        <v>1</v>
      </c>
      <c r="O5" s="50" t="n">
        <v>1</v>
      </c>
      <c r="Y5" s="51" t="inlineStr">
        <is>
          <t>钻机折旧维修系数</t>
        </is>
      </c>
      <c r="Z5" s="52" t="n">
        <v>2.2</v>
      </c>
      <c r="AA5" s="53" t="inlineStr">
        <is>
          <t>钻爆B94：钻头钻杆消耗大，系数稍高，1.6~2.0</t>
        </is>
      </c>
    </row>
    <row r="6" ht="37.3" customHeight="1">
      <c r="A6" s="5" t="inlineStr">
        <is>
          <t>乳化炸药单价</t>
        </is>
      </c>
      <c r="B6" s="45" t="n">
        <v>12</v>
      </c>
      <c r="C6" s="46" t="inlineStr">
        <is>
          <t>元/kg</t>
        </is>
      </c>
      <c r="D6" s="5" t="inlineStr">
        <is>
          <t>中等风化砂岩</t>
        </is>
      </c>
      <c r="E6" s="14" t="inlineStr">
        <is>
          <t>Ⅳ中硬岩</t>
        </is>
      </c>
      <c r="F6" s="45" t="n">
        <v>5</v>
      </c>
      <c r="G6" s="45" t="n">
        <v>2.45</v>
      </c>
      <c r="H6" s="45" t="n">
        <v>1.42</v>
      </c>
      <c r="I6" s="47" t="inlineStr">
        <is>
          <t>爆破+开挖</t>
        </is>
      </c>
      <c r="J6" s="47" t="inlineStr">
        <is>
          <t>松土器松土+开挖,机械破碎+开挖,爆破+二次破碎+开挖</t>
        </is>
      </c>
      <c r="K6" s="48" t="n">
        <v>0.1</v>
      </c>
      <c r="L6" s="7" t="inlineStr">
        <is>
          <t>是</t>
        </is>
      </c>
      <c r="M6" s="5" t="inlineStr">
        <is>
          <t>松土→破碎</t>
        </is>
      </c>
      <c r="N6" s="49" t="n">
        <v>0.7</v>
      </c>
      <c r="O6" s="50" t="n">
        <v>1.5</v>
      </c>
      <c r="Y6" s="51" t="inlineStr">
        <is>
          <t>装载机折旧维修系数</t>
        </is>
      </c>
      <c r="Z6" s="52" t="n">
        <v>1.8</v>
      </c>
      <c r="AA6" s="53" t="inlineStr">
        <is>
          <t>钻爆B11：爆破辅助装载机，1.3~1.8</t>
        </is>
      </c>
    </row>
    <row r="7" ht="38.05" customHeight="1">
      <c r="A7" s="5" t="inlineStr">
        <is>
          <t>雷管单价(数码雷管)</t>
        </is>
      </c>
      <c r="B7" s="45" t="n">
        <v>14</v>
      </c>
      <c r="C7" s="46" t="inlineStr">
        <is>
          <t>元/发</t>
        </is>
      </c>
      <c r="D7" s="5" t="inlineStr">
        <is>
          <t>微风化花岗岩</t>
        </is>
      </c>
      <c r="E7" s="14" t="inlineStr">
        <is>
          <t>Ⅴ较硬岩</t>
        </is>
      </c>
      <c r="F7" s="45" t="n">
        <v>7</v>
      </c>
      <c r="G7" s="45" t="n">
        <v>2.6</v>
      </c>
      <c r="H7" s="45" t="n">
        <v>1.48</v>
      </c>
      <c r="I7" s="47" t="inlineStr">
        <is>
          <t>爆破+开挖</t>
        </is>
      </c>
      <c r="J7" s="47" t="inlineStr">
        <is>
          <t>机械破碎+开挖,爆破+二次破碎+开挖</t>
        </is>
      </c>
      <c r="K7" s="48" t="n">
        <v>0.12</v>
      </c>
      <c r="L7" s="7" t="inlineStr">
        <is>
          <t>是</t>
        </is>
      </c>
      <c r="M7" s="11" t="inlineStr">
        <is>
          <t>松土→直接开挖</t>
        </is>
      </c>
      <c r="N7" s="54" t="n">
        <v>1</v>
      </c>
      <c r="O7" s="55" t="n">
        <v>1</v>
      </c>
      <c r="Y7" s="51" t="inlineStr">
        <is>
          <t>平路油耗负载因子</t>
        </is>
      </c>
      <c r="Z7" s="52" t="n">
        <v>0.15</v>
      </c>
      <c r="AA7" s="53" t="inlineStr">
        <is>
          <t>运输B59/B61：平路油耗=空车+(上坡-空车)×此值；硬质路0.20，一般0.25，松软0.30 | 平路油耗负载因子（合同校准）：硬质矿山路面</t>
        </is>
      </c>
    </row>
    <row r="8" ht="24.85" customHeight="1">
      <c r="A8" s="5" t="inlineStr">
        <is>
          <t>导爆索单价</t>
        </is>
      </c>
      <c r="B8" s="45" t="n">
        <v>3</v>
      </c>
      <c r="C8" s="46" t="inlineStr">
        <is>
          <t>元/m</t>
        </is>
      </c>
      <c r="D8" s="5" t="inlineStr">
        <is>
          <t>新鲜花岗岩</t>
        </is>
      </c>
      <c r="E8" s="14" t="inlineStr">
        <is>
          <t>Ⅵ坚硬岩</t>
        </is>
      </c>
      <c r="F8" s="45" t="n">
        <v>10</v>
      </c>
      <c r="G8" s="45" t="n">
        <v>2.7</v>
      </c>
      <c r="H8" s="45" t="n">
        <v>1.54</v>
      </c>
      <c r="I8" s="47" t="inlineStr">
        <is>
          <t>爆破+开挖</t>
        </is>
      </c>
      <c r="J8" s="47" t="inlineStr">
        <is>
          <t>爆破+二次破碎+开挖</t>
        </is>
      </c>
      <c r="K8" s="48" t="n">
        <v>0.18</v>
      </c>
      <c r="L8" s="7" t="inlineStr">
        <is>
          <t>是</t>
        </is>
      </c>
      <c r="Y8" s="51" t="inlineStr">
        <is>
          <t>矿用车辆耐用年限</t>
        </is>
      </c>
      <c r="Z8" s="52" t="n">
        <v>8</v>
      </c>
      <c r="AA8" s="53" t="inlineStr">
        <is>
          <t>年；联动矿卡区L40~L47耐用台班=250×此值</t>
        </is>
      </c>
    </row>
    <row r="9" ht="24.85" customHeight="1">
      <c r="A9" s="5" t="inlineStr">
        <is>
          <t>破碎锤钎杆单价</t>
        </is>
      </c>
      <c r="B9" s="45" t="n">
        <v>1200</v>
      </c>
      <c r="C9" s="46" t="inlineStr">
        <is>
          <t>元/根</t>
        </is>
      </c>
      <c r="D9" s="5" t="inlineStr">
        <is>
          <t>玄武岩</t>
        </is>
      </c>
      <c r="E9" s="14" t="inlineStr">
        <is>
          <t>Ⅶ极硬岩</t>
        </is>
      </c>
      <c r="F9" s="45" t="n">
        <v>16</v>
      </c>
      <c r="G9" s="45" t="n">
        <v>2.85</v>
      </c>
      <c r="H9" s="45" t="n">
        <v>1.6</v>
      </c>
      <c r="I9" s="47" t="inlineStr">
        <is>
          <t>爆破+开挖</t>
        </is>
      </c>
      <c r="J9" s="47" t="inlineStr">
        <is>
          <t>爆破+二次破碎+开挖</t>
        </is>
      </c>
      <c r="K9" s="48" t="n">
        <v>0.25</v>
      </c>
      <c r="L9" s="7" t="inlineStr">
        <is>
          <t>是</t>
        </is>
      </c>
      <c r="Y9" s="51" t="inlineStr">
        <is>
          <t>挖掘机耐用年限</t>
        </is>
      </c>
      <c r="Z9" s="52" t="n">
        <v>10</v>
      </c>
      <c r="AA9" s="53" t="inlineStr">
        <is>
          <t>年；挖机区K26耐用台班=250×此值（K27~K36为型号特异值）</t>
        </is>
      </c>
    </row>
    <row r="10" ht="25.6" customHeight="1">
      <c r="A10" s="5" t="inlineStr">
        <is>
          <t>破碎锤钎杆寿命</t>
        </is>
      </c>
      <c r="B10" s="45" t="n">
        <v>800</v>
      </c>
      <c r="C10" s="46" t="inlineStr">
        <is>
          <t>m³实方</t>
        </is>
      </c>
      <c r="D10" s="11" t="inlineStr">
        <is>
          <t>致密石英岩</t>
        </is>
      </c>
      <c r="E10" s="56" t="inlineStr">
        <is>
          <t>Ⅷ特殊坚硬岩</t>
        </is>
      </c>
      <c r="F10" s="57" t="n">
        <v>20</v>
      </c>
      <c r="G10" s="57" t="n">
        <v>3</v>
      </c>
      <c r="H10" s="57" t="n">
        <v>1.65</v>
      </c>
      <c r="I10" s="58" t="inlineStr">
        <is>
          <t>爆破+开挖</t>
        </is>
      </c>
      <c r="J10" s="58" t="inlineStr">
        <is>
          <t>爆破+二次破碎+开挖</t>
        </is>
      </c>
      <c r="K10" s="59" t="n">
        <v>0.3</v>
      </c>
      <c r="L10" s="13" t="inlineStr">
        <is>
          <t>是</t>
        </is>
      </c>
      <c r="Y10" s="51" t="inlineStr">
        <is>
          <t>台班小时数</t>
        </is>
      </c>
      <c r="Z10" s="52" t="n">
        <v>8</v>
      </c>
      <c r="AA10" s="53" t="inlineStr">
        <is>
          <t>h/台班，行业标准（一班制8h，二班制16h）</t>
        </is>
      </c>
    </row>
    <row r="11" ht="15" customHeight="1">
      <c r="A11" s="5" t="inlineStr">
        <is>
          <t>渣场维护费</t>
        </is>
      </c>
      <c r="B11" s="45" t="n">
        <v>0.5</v>
      </c>
      <c r="C11" s="46" t="inlineStr">
        <is>
          <t>元/m³实方</t>
        </is>
      </c>
      <c r="D11" s="60" t="inlineStr">
        <is>
          <t>【f值相关参数插值基准点】</t>
        </is>
      </c>
      <c r="E11" s="217" t="n"/>
      <c r="F11" s="217" t="n"/>
      <c r="G11" s="217" t="n"/>
      <c r="H11" s="217" t="n"/>
      <c r="I11" s="217" t="n"/>
      <c r="J11" s="217" t="n"/>
      <c r="K11" s="217" t="n"/>
      <c r="L11" s="221" t="n"/>
      <c r="Y11" s="51" t="inlineStr">
        <is>
          <t>柴油机械时间利用率</t>
        </is>
      </c>
      <c r="Z11" s="52" t="n">
        <v>0.75</v>
      </c>
      <c r="AA11" s="53" t="inlineStr">
        <is>
          <t>运输B17、挖装B14、钻爆B93共用；含怠速空驶等无效时间</t>
        </is>
      </c>
    </row>
    <row r="12" ht="24.85" customHeight="1">
      <c r="A12" s="5" t="inlineStr">
        <is>
          <t>松土器齿尖单价</t>
        </is>
      </c>
      <c r="B12" s="45" t="n">
        <v>600</v>
      </c>
      <c r="C12" s="46" t="inlineStr">
        <is>
          <t>元/个</t>
        </is>
      </c>
      <c r="D12" s="39" t="inlineStr">
        <is>
          <t>普氏系数f</t>
        </is>
      </c>
      <c r="E12" s="40" t="inlineStr">
        <is>
          <t>钻孔速度系数</t>
        </is>
      </c>
      <c r="F12" s="40" t="inlineStr">
        <is>
          <t>爆破单耗(kg/m³)</t>
        </is>
      </c>
      <c r="G12" s="61" t="inlineStr">
        <is>
          <t>挖机满斗系数(已弃用)</t>
        </is>
      </c>
      <c r="H12" s="40" t="inlineStr">
        <is>
          <t>松土器效率系数</t>
        </is>
      </c>
      <c r="I12" s="40" t="inlineStr">
        <is>
          <t>破碎锤效率系数</t>
        </is>
      </c>
      <c r="J12" s="62" t="inlineStr">
        <is>
          <t>直接开挖折减系数(已弃用)</t>
        </is>
      </c>
      <c r="K12" s="40" t="inlineStr">
        <is>
          <t>W1/H系数</t>
        </is>
      </c>
      <c r="L12" s="41" t="inlineStr">
        <is>
          <t>超深系数</t>
        </is>
      </c>
      <c r="Y12" s="51" t="inlineStr">
        <is>
          <t>电动机械时间利用率</t>
        </is>
      </c>
      <c r="Z12" s="52" t="n">
        <v>0.85</v>
      </c>
      <c r="AA12" s="53" t="inlineStr">
        <is>
          <t>电动设备工况系数；同上三处共用</t>
        </is>
      </c>
    </row>
    <row r="13" ht="14.15" customHeight="1">
      <c r="A13" s="5" t="inlineStr">
        <is>
          <t>松土器齿尖寿命</t>
        </is>
      </c>
      <c r="B13" s="45" t="n">
        <v>2000</v>
      </c>
      <c r="C13" s="46" t="inlineStr">
        <is>
          <t>m³实方</t>
        </is>
      </c>
      <c r="D13" s="63" t="n">
        <v>0.5</v>
      </c>
      <c r="E13" s="45" t="n">
        <v>2.5</v>
      </c>
      <c r="F13" s="45" t="n">
        <v>0</v>
      </c>
      <c r="G13" s="64" t="n">
        <v>0.95</v>
      </c>
      <c r="H13" s="45" t="n">
        <v>2</v>
      </c>
      <c r="I13" s="45" t="n">
        <v>1.2</v>
      </c>
      <c r="J13" s="65" t="n">
        <v>0.95</v>
      </c>
      <c r="K13" s="45" t="n">
        <v>0.9</v>
      </c>
      <c r="L13" s="66" t="n">
        <v>0.12</v>
      </c>
      <c r="Y13" s="67" t="inlineStr">
        <is>
          <t>矿卡时间利用率</t>
        </is>
      </c>
      <c r="Z13" s="68" t="n">
        <v>0.85</v>
      </c>
      <c r="AA13" s="69" t="inlineStr">
        <is>
          <t>运输B50；含调度/装车排队等待，露天矿0.80~0.90</t>
        </is>
      </c>
    </row>
    <row r="14" ht="28.3" customHeight="1">
      <c r="A14" s="5" t="inlineStr">
        <is>
          <t>机油/液压油单价</t>
        </is>
      </c>
      <c r="B14" s="45" t="n">
        <v>20</v>
      </c>
      <c r="C14" s="46" t="inlineStr">
        <is>
          <t>元/L</t>
        </is>
      </c>
      <c r="D14" s="63" t="n">
        <v>1</v>
      </c>
      <c r="E14" s="45" t="n">
        <v>2.1</v>
      </c>
      <c r="F14" s="45" t="n">
        <v>0.35</v>
      </c>
      <c r="G14" s="64" t="n">
        <v>0.92</v>
      </c>
      <c r="H14" s="45" t="n">
        <v>1.8</v>
      </c>
      <c r="I14" s="45" t="n">
        <v>1.15</v>
      </c>
      <c r="J14" s="65" t="n">
        <v>0.9</v>
      </c>
      <c r="K14" s="45" t="n">
        <v>0.88</v>
      </c>
      <c r="L14" s="66" t="n">
        <v>0.14</v>
      </c>
      <c r="Y14" s="67" t="inlineStr">
        <is>
          <t>挖机时间利用率</t>
        </is>
      </c>
      <c r="Z14" s="68" t="n">
        <v>0.75</v>
      </c>
      <c r="AA14" s="69" t="inlineStr">
        <is>
          <t>挖装B22；等车占比最大，露天矿0.75~0.85 | 挖机时间利用率（合同校准）：露天合理上限</t>
        </is>
      </c>
    </row>
    <row r="15" ht="14.15" customHeight="1">
      <c r="A15" s="5" t="inlineStr">
        <is>
          <t>黄油单价</t>
        </is>
      </c>
      <c r="B15" s="45" t="n">
        <v>15</v>
      </c>
      <c r="C15" s="46" t="inlineStr">
        <is>
          <t>元/kg</t>
        </is>
      </c>
      <c r="D15" s="63" t="n">
        <v>2</v>
      </c>
      <c r="E15" s="45" t="n">
        <v>1.8</v>
      </c>
      <c r="F15" s="45" t="n">
        <v>0.4</v>
      </c>
      <c r="G15" s="64" t="n">
        <v>0.88</v>
      </c>
      <c r="H15" s="45" t="n">
        <v>1.5</v>
      </c>
      <c r="I15" s="45" t="n">
        <v>1.05</v>
      </c>
      <c r="J15" s="65" t="n">
        <v>0.8</v>
      </c>
      <c r="K15" s="45" t="n">
        <v>0.85</v>
      </c>
      <c r="L15" s="66" t="n">
        <v>0.16</v>
      </c>
      <c r="Y15" s="67" t="inlineStr">
        <is>
          <t>钻机时间利用率</t>
        </is>
      </c>
      <c r="Z15" s="68" t="n">
        <v>0.75</v>
      </c>
      <c r="AA15" s="69" t="inlineStr">
        <is>
          <t>钻爆B87；含换杆/移位/钻头更换，0.65~0.80</t>
        </is>
      </c>
    </row>
    <row r="16" ht="14.15" customHeight="1">
      <c r="A16" s="5" t="inlineStr">
        <is>
          <t>爆破工日工资</t>
        </is>
      </c>
      <c r="B16" s="45" t="n">
        <v>500</v>
      </c>
      <c r="C16" s="46" t="inlineStr">
        <is>
          <t>元/工日</t>
        </is>
      </c>
      <c r="D16" s="63" t="n">
        <v>4</v>
      </c>
      <c r="E16" s="45" t="n">
        <v>1.4</v>
      </c>
      <c r="F16" s="45" t="n">
        <v>0.45</v>
      </c>
      <c r="G16" s="64" t="n">
        <v>0.85</v>
      </c>
      <c r="H16" s="45" t="n">
        <v>1</v>
      </c>
      <c r="I16" s="45" t="n">
        <v>0.95</v>
      </c>
      <c r="J16" s="65" t="n">
        <v>0.55</v>
      </c>
      <c r="K16" s="45" t="n">
        <v>0.8</v>
      </c>
      <c r="L16" s="66" t="n">
        <v>0.18</v>
      </c>
      <c r="Y16" s="67" t="inlineStr">
        <is>
          <t>松土器时间利用率</t>
        </is>
      </c>
      <c r="Z16" s="68" t="n">
        <v>0.7</v>
      </c>
      <c r="AA16" s="69" t="inlineStr">
        <is>
          <t>松土B10；折断/换齿/退车多，0.60~0.75</t>
        </is>
      </c>
    </row>
    <row r="17" ht="14.15" customHeight="1">
      <c r="A17" s="5" t="inlineStr">
        <is>
          <t>单人日装药能力</t>
        </is>
      </c>
      <c r="B17" s="45" t="n">
        <v>100</v>
      </c>
      <c r="C17" s="46" t="inlineStr">
        <is>
          <t>kg/工日</t>
        </is>
      </c>
      <c r="D17" s="63" t="n">
        <v>6</v>
      </c>
      <c r="E17" s="45" t="n">
        <v>1.05</v>
      </c>
      <c r="F17" s="45" t="n">
        <v>0.52</v>
      </c>
      <c r="G17" s="64" t="n">
        <v>0.78</v>
      </c>
      <c r="H17" s="45" t="n">
        <v>0.55</v>
      </c>
      <c r="I17" s="45" t="n">
        <v>0.88</v>
      </c>
      <c r="J17" s="65" t="n">
        <v>0.25</v>
      </c>
      <c r="K17" s="45" t="n">
        <v>0.75</v>
      </c>
      <c r="L17" s="66" t="n">
        <v>0.2</v>
      </c>
      <c r="Y17" s="67" t="inlineStr">
        <is>
          <t>破碎锤时间利用率</t>
        </is>
      </c>
      <c r="Z17" s="68" t="n">
        <v>0.65</v>
      </c>
      <c r="AA17" s="69" t="inlineStr">
        <is>
          <t>破碎B10；散热/钎杆更换频繁，0.55~0.70</t>
        </is>
      </c>
    </row>
    <row r="18" ht="14.15" customHeight="1">
      <c r="A18" s="5" t="inlineStr">
        <is>
          <t>年工作台班</t>
        </is>
      </c>
      <c r="B18" s="45" t="n">
        <v>250</v>
      </c>
      <c r="C18" s="46" t="inlineStr">
        <is>
          <t>台班</t>
        </is>
      </c>
      <c r="D18" s="63" t="n">
        <v>8</v>
      </c>
      <c r="E18" s="45" t="n">
        <v>0.95</v>
      </c>
      <c r="F18" s="45" t="n">
        <v>0.6</v>
      </c>
      <c r="G18" s="64" t="n">
        <v>0.75</v>
      </c>
      <c r="H18" s="45" t="n">
        <v>0.4</v>
      </c>
      <c r="I18" s="45" t="n">
        <v>0.85</v>
      </c>
      <c r="J18" s="65" t="n">
        <v>0.12</v>
      </c>
      <c r="K18" s="45" t="n">
        <v>0.7</v>
      </c>
      <c r="L18" s="66" t="n">
        <v>0.22</v>
      </c>
      <c r="Y18" s="67" t="inlineStr">
        <is>
          <t>直接开挖装车效率系数</t>
        </is>
      </c>
      <c r="Z18" s="68" t="n">
        <v>1</v>
      </c>
      <c r="AA18" s="69" t="inlineStr">
        <is>
          <t>挖装B15；岩石原状致密=1.0</t>
        </is>
      </c>
    </row>
    <row r="19" ht="14.15" customHeight="1">
      <c r="A19" s="5" t="inlineStr">
        <is>
          <t>保险费率</t>
        </is>
      </c>
      <c r="B19" s="70" t="n">
        <v>0.003</v>
      </c>
      <c r="C19" s="46" t="inlineStr">
        <is>
          <t>—</t>
        </is>
      </c>
      <c r="D19" s="63" t="n">
        <v>10</v>
      </c>
      <c r="E19" s="45" t="n">
        <v>0.8</v>
      </c>
      <c r="F19" s="45" t="n">
        <v>0.67</v>
      </c>
      <c r="G19" s="64" t="n">
        <v>0.7</v>
      </c>
      <c r="H19" s="45" t="n">
        <v>0.25</v>
      </c>
      <c r="I19" s="45" t="n">
        <v>0.8</v>
      </c>
      <c r="J19" s="65" t="n">
        <v>0.08</v>
      </c>
      <c r="K19" s="45" t="n">
        <v>0.68</v>
      </c>
      <c r="L19" s="66" t="n">
        <v>0.24</v>
      </c>
      <c r="Y19" s="67" t="inlineStr">
        <is>
          <t>爆破后装车效率系数</t>
        </is>
      </c>
      <c r="Z19" s="68" t="n">
        <v>1.4</v>
      </c>
      <c r="AA19" s="69" t="inlineStr">
        <is>
          <t>挖装B15；岩石松散好装=1.4</t>
        </is>
      </c>
    </row>
    <row r="20" ht="14.15" customHeight="1">
      <c r="A20" s="5" t="inlineStr">
        <is>
          <t>税率</t>
        </is>
      </c>
      <c r="B20" s="70" t="n">
        <v>0.09</v>
      </c>
      <c r="C20" s="46" t="inlineStr">
        <is>
          <t>增值税</t>
        </is>
      </c>
      <c r="D20" s="63" t="n">
        <v>14</v>
      </c>
      <c r="E20" s="45" t="n">
        <v>0.6</v>
      </c>
      <c r="F20" s="45" t="n">
        <v>0.74</v>
      </c>
      <c r="G20" s="64" t="n">
        <v>0.62</v>
      </c>
      <c r="H20" s="45" t="n">
        <v>0.08</v>
      </c>
      <c r="I20" s="45" t="n">
        <v>0.7</v>
      </c>
      <c r="J20" s="65" t="n">
        <v>0.04</v>
      </c>
      <c r="K20" s="45" t="n">
        <v>0.65</v>
      </c>
      <c r="L20" s="66" t="n">
        <v>0.26</v>
      </c>
      <c r="Y20" s="67" t="inlineStr">
        <is>
          <t>直接开挖满斗系数</t>
        </is>
      </c>
      <c r="Z20" s="68" t="n">
        <v>1.05</v>
      </c>
      <c r="AA20" s="69" t="inlineStr">
        <is>
          <t>挖装B19；原状岩斗略冒尖=1.05</t>
        </is>
      </c>
    </row>
    <row r="21" ht="14.15" customHeight="1">
      <c r="A21" s="5" t="inlineStr">
        <is>
          <t>工作面折减系数</t>
        </is>
      </c>
      <c r="B21" s="45" t="n">
        <v>0.95</v>
      </c>
      <c r="C21" s="46" t="inlineStr">
        <is>
          <t>—</t>
        </is>
      </c>
      <c r="D21" s="63" t="n">
        <v>18</v>
      </c>
      <c r="E21" s="45" t="n">
        <v>0.5</v>
      </c>
      <c r="F21" s="45" t="n">
        <v>0.85</v>
      </c>
      <c r="G21" s="64" t="n">
        <v>0.55</v>
      </c>
      <c r="H21" s="45" t="n">
        <v>0</v>
      </c>
      <c r="I21" s="45" t="n">
        <v>0.6</v>
      </c>
      <c r="J21" s="65" t="n">
        <v>0.02</v>
      </c>
      <c r="K21" s="45" t="n">
        <v>0.63</v>
      </c>
      <c r="L21" s="66" t="n">
        <v>0.28</v>
      </c>
      <c r="Y21" s="67" t="inlineStr">
        <is>
          <t>爆破后满斗系数</t>
        </is>
      </c>
      <c r="Z21" s="68" t="n">
        <v>1.1</v>
      </c>
      <c r="AA21" s="69" t="inlineStr">
        <is>
          <t>挖装B19；爆破块度均匀=1.10</t>
        </is>
      </c>
    </row>
    <row r="22" ht="14.9" customHeight="1">
      <c r="A22" s="11" t="inlineStr">
        <is>
          <t>警戒排险费</t>
        </is>
      </c>
      <c r="B22" s="57" t="n">
        <v>0.5</v>
      </c>
      <c r="C22" s="71" t="inlineStr">
        <is>
          <t>元/方</t>
        </is>
      </c>
      <c r="D22" s="72" t="n">
        <v>22</v>
      </c>
      <c r="E22" s="57" t="n">
        <v>0.42</v>
      </c>
      <c r="F22" s="57" t="n">
        <v>1</v>
      </c>
      <c r="G22" s="73" t="n">
        <v>0.5</v>
      </c>
      <c r="H22" s="57" t="n">
        <v>0</v>
      </c>
      <c r="I22" s="57" t="n">
        <v>0.5</v>
      </c>
      <c r="J22" s="74" t="n">
        <v>0.01</v>
      </c>
      <c r="K22" s="57" t="n">
        <v>0.6</v>
      </c>
      <c r="L22" s="75" t="n">
        <v>0.3</v>
      </c>
      <c r="Y22" s="67" t="inlineStr">
        <is>
          <t>松土/破碎斗容利用率</t>
        </is>
      </c>
      <c r="Z22" s="68" t="n">
        <v>0.85</v>
      </c>
      <c r="AA22" s="69" t="inlineStr">
        <is>
          <t>松土B10/破碎B10；钩头/锤头不同于挖斗，按0.85打折</t>
        </is>
      </c>
    </row>
    <row r="23" ht="14.9" customHeight="1">
      <c r="Y23" s="67" t="inlineStr">
        <is>
          <t>重力加速度g(m/s²)</t>
        </is>
      </c>
      <c r="Z23" s="68" t="n">
        <v>9.81</v>
      </c>
      <c r="AA23" s="69" t="inlineStr">
        <is>
          <t>⚠已废弃（V8删提升高程H后无任何公式引用）：原为重力加速度g，用于爬坡功W=m·g·H</t>
        </is>
      </c>
    </row>
    <row r="24" ht="15" customHeight="1">
      <c r="A24" s="76" t="inlineStr">
        <is>
          <t>【挖掘机设备参数】</t>
        </is>
      </c>
      <c r="B24" s="217" t="n"/>
      <c r="C24" s="217" t="n"/>
      <c r="D24" s="217" t="n"/>
      <c r="E24" s="217" t="n"/>
      <c r="F24" s="217" t="n"/>
      <c r="G24" s="217" t="n"/>
      <c r="H24" s="217" t="n"/>
      <c r="I24" s="217" t="n"/>
      <c r="J24" s="217" t="n"/>
      <c r="K24" s="217" t="n"/>
      <c r="L24" s="217" t="n"/>
      <c r="M24" s="217" t="n"/>
      <c r="N24" s="217" t="n"/>
      <c r="O24" s="218" t="n"/>
      <c r="Y24" s="67" t="inlineStr">
        <is>
          <t>柴油低位热值(MJ/L)</t>
        </is>
      </c>
      <c r="Z24" s="68" t="n">
        <v>35.86</v>
      </c>
      <c r="AA24" s="69" t="inlineStr">
        <is>
          <t>⚠已废弃（V8删提升高程H后无任何公式引用）：原为0号柴油标准热值，用于爬坡能耗折算</t>
        </is>
      </c>
    </row>
    <row r="25" ht="42.45" customHeight="1">
      <c r="A25" s="39" t="inlineStr">
        <is>
          <t>设备代号</t>
        </is>
      </c>
      <c r="B25" s="40" t="inlineStr">
        <is>
          <t>品牌</t>
        </is>
      </c>
      <c r="C25" s="40" t="inlineStr">
        <is>
          <t>型号</t>
        </is>
      </c>
      <c r="D25" s="40" t="inlineStr">
        <is>
          <t>斗容(m³)</t>
        </is>
      </c>
      <c r="E25" s="40" t="inlineStr">
        <is>
          <t>工作重量(t)</t>
        </is>
      </c>
      <c r="F25" s="40" t="inlineStr">
        <is>
          <t>动力类型</t>
        </is>
      </c>
      <c r="G25" s="40" t="inlineStr">
        <is>
          <t>功率(kW)</t>
        </is>
      </c>
      <c r="H25" s="40" t="inlineStr">
        <is>
          <t>小时消耗量(L或kWh)</t>
        </is>
      </c>
      <c r="I25" s="40" t="inlineStr">
        <is>
          <t>定员</t>
        </is>
      </c>
      <c r="J25" s="40" t="inlineStr">
        <is>
          <t>原值(万元)</t>
        </is>
      </c>
      <c r="K25" s="40" t="inlineStr">
        <is>
          <t>耐用台班</t>
        </is>
      </c>
      <c r="L25" s="40" t="inlineStr">
        <is>
          <t>残值率</t>
        </is>
      </c>
      <c r="M25" s="40" t="inlineStr">
        <is>
          <t>租赁单价(元/台班)</t>
        </is>
      </c>
      <c r="N25" s="40" t="inlineStr">
        <is>
          <t>斗齿单价(元)</t>
        </is>
      </c>
      <c r="O25" s="41" t="inlineStr">
        <is>
          <t>斗齿寿命(h)</t>
        </is>
      </c>
      <c r="Y25" s="67" t="inlineStr">
        <is>
          <t>坡度上坡油耗修正系数</t>
        </is>
      </c>
      <c r="Z25" s="68" t="n">
        <v>0.06</v>
      </c>
      <c r="AA25" s="69" t="inlineStr">
        <is>
          <t>⚠已废弃（V8删提升高程H后无任何公式引用）：原为柴油机爬坡综合效率</t>
        </is>
      </c>
    </row>
    <row r="26" ht="29.05" customHeight="1">
      <c r="A26" s="5" t="inlineStr">
        <is>
          <t>W1.6</t>
        </is>
      </c>
      <c r="B26" s="14" t="inlineStr">
        <is>
          <t>三一</t>
        </is>
      </c>
      <c r="C26" s="14" t="inlineStr">
        <is>
          <t>SY365H</t>
        </is>
      </c>
      <c r="D26" s="77" t="n">
        <v>1.6</v>
      </c>
      <c r="E26" s="77" t="n">
        <v>36.5</v>
      </c>
      <c r="F26" s="78" t="inlineStr">
        <is>
          <t>柴油</t>
        </is>
      </c>
      <c r="G26" s="14" t="n">
        <v>212</v>
      </c>
      <c r="H26" s="77" t="n">
        <v>14</v>
      </c>
      <c r="I26" s="77" t="n">
        <v>1</v>
      </c>
      <c r="J26" s="77" t="n">
        <v>85</v>
      </c>
      <c r="K26" s="77">
        <f>250*$Z$9</f>
        <v/>
      </c>
      <c r="L26" s="48" t="n">
        <v>0.1</v>
      </c>
      <c r="M26" s="77" t="n">
        <v>1650</v>
      </c>
      <c r="N26" s="77" t="n">
        <v>200</v>
      </c>
      <c r="O26" s="79" t="n">
        <v>800</v>
      </c>
      <c r="Y26" s="80" t="inlineStr">
        <is>
          <t>坡度下坡油耗修正系数</t>
        </is>
      </c>
      <c r="Z26" s="81" t="n">
        <v>0.03</v>
      </c>
      <c r="AA26" s="82" t="inlineStr">
        <is>
          <t>⚠已废弃（V8删提升高程H后无任何公式引用）：原为电机爬坡综合效率</t>
        </is>
      </c>
    </row>
    <row r="27">
      <c r="A27" s="5" t="inlineStr">
        <is>
          <t>W2.0</t>
        </is>
      </c>
      <c r="B27" s="14" t="inlineStr">
        <is>
          <t>卡特彼勒</t>
        </is>
      </c>
      <c r="C27" s="14" t="inlineStr">
        <is>
          <t>336D</t>
        </is>
      </c>
      <c r="D27" s="77" t="n">
        <v>2</v>
      </c>
      <c r="E27" s="77" t="n">
        <v>34</v>
      </c>
      <c r="F27" s="78" t="inlineStr">
        <is>
          <t>柴油</t>
        </is>
      </c>
      <c r="G27" s="14" t="n">
        <v>200</v>
      </c>
      <c r="H27" s="77" t="n">
        <v>16</v>
      </c>
      <c r="I27" s="77" t="n">
        <v>1</v>
      </c>
      <c r="J27" s="77" t="n">
        <v>120</v>
      </c>
      <c r="K27" s="77">
        <f>250*$Z$9</f>
        <v/>
      </c>
      <c r="L27" s="48" t="n">
        <v>0.1</v>
      </c>
      <c r="M27" s="77" t="n">
        <v>2000</v>
      </c>
      <c r="N27" s="77" t="n">
        <v>250</v>
      </c>
      <c r="O27" s="79" t="n">
        <v>750</v>
      </c>
      <c r="Y27" t="inlineStr">
        <is>
          <t>缓冲孔附加成本系数</t>
        </is>
      </c>
      <c r="Z27" t="n">
        <v>0.15</v>
      </c>
    </row>
    <row r="28">
      <c r="A28" s="5" t="inlineStr">
        <is>
          <t>W2.5</t>
        </is>
      </c>
      <c r="B28" s="14" t="inlineStr">
        <is>
          <t>小松</t>
        </is>
      </c>
      <c r="C28" s="14" t="inlineStr">
        <is>
          <t>PC360</t>
        </is>
      </c>
      <c r="D28" s="77" t="n">
        <v>2.5</v>
      </c>
      <c r="E28" s="77" t="n">
        <v>36</v>
      </c>
      <c r="F28" s="78" t="inlineStr">
        <is>
          <t>柴油</t>
        </is>
      </c>
      <c r="G28" s="14" t="n">
        <v>196</v>
      </c>
      <c r="H28" s="77" t="n">
        <v>18</v>
      </c>
      <c r="I28" s="77" t="n">
        <v>1</v>
      </c>
      <c r="J28" s="77" t="n">
        <v>160</v>
      </c>
      <c r="K28" s="77">
        <f>250*$Z$9</f>
        <v/>
      </c>
      <c r="L28" s="48" t="n">
        <v>0.1</v>
      </c>
      <c r="M28" s="77" t="n">
        <v>2100</v>
      </c>
      <c r="N28" s="77" t="n">
        <v>300</v>
      </c>
      <c r="O28" s="79" t="n">
        <v>700</v>
      </c>
      <c r="Y28" t="inlineStr">
        <is>
          <t>坡面角修正基准角</t>
        </is>
      </c>
      <c r="Z28" t="n">
        <v>75</v>
      </c>
    </row>
    <row r="29">
      <c r="A29" s="5" t="inlineStr">
        <is>
          <t>W3.2</t>
        </is>
      </c>
      <c r="B29" s="14" t="inlineStr">
        <is>
          <t>沃尔沃</t>
        </is>
      </c>
      <c r="C29" s="14" t="inlineStr">
        <is>
          <t>EC480</t>
        </is>
      </c>
      <c r="D29" s="77" t="n">
        <v>3.2</v>
      </c>
      <c r="E29" s="77" t="n">
        <v>48</v>
      </c>
      <c r="F29" s="78" t="inlineStr">
        <is>
          <t>柴油</t>
        </is>
      </c>
      <c r="G29" s="14" t="n">
        <v>265</v>
      </c>
      <c r="H29" s="77" t="n">
        <v>22</v>
      </c>
      <c r="I29" s="77" t="n">
        <v>1</v>
      </c>
      <c r="J29" s="77" t="n">
        <v>220</v>
      </c>
      <c r="K29" s="77">
        <f>250*$Z$9</f>
        <v/>
      </c>
      <c r="L29" s="48" t="n">
        <v>0.1</v>
      </c>
      <c r="M29" s="77" t="n">
        <v>2900</v>
      </c>
      <c r="N29" s="77" t="n">
        <v>350</v>
      </c>
      <c r="O29" s="79" t="n">
        <v>650</v>
      </c>
      <c r="Y29" t="inlineStr">
        <is>
          <t>坡面角单耗修正系数</t>
        </is>
      </c>
      <c r="Z29" t="n">
        <v>0.008</v>
      </c>
    </row>
    <row r="30">
      <c r="A30" s="5" t="inlineStr">
        <is>
          <t>E2.0</t>
        </is>
      </c>
      <c r="B30" s="14" t="inlineStr">
        <is>
          <t>三一</t>
        </is>
      </c>
      <c r="C30" s="14" t="inlineStr">
        <is>
          <t>SY365E</t>
        </is>
      </c>
      <c r="D30" s="77" t="n">
        <v>2</v>
      </c>
      <c r="E30" s="77" t="n">
        <v>36.5</v>
      </c>
      <c r="F30" s="78" t="inlineStr">
        <is>
          <t>电动</t>
        </is>
      </c>
      <c r="G30" s="14" t="n">
        <v>212</v>
      </c>
      <c r="H30" s="77" t="n">
        <v>12.5</v>
      </c>
      <c r="I30" s="77" t="n">
        <v>1</v>
      </c>
      <c r="J30" s="77" t="n">
        <v>160</v>
      </c>
      <c r="K30" s="77">
        <f>250*$Z$9</f>
        <v/>
      </c>
      <c r="L30" s="48" t="n">
        <v>0.1</v>
      </c>
      <c r="M30" s="77" t="n">
        <v>2200</v>
      </c>
      <c r="N30" s="77" t="n">
        <v>250</v>
      </c>
      <c r="O30" s="79" t="n">
        <v>750</v>
      </c>
      <c r="Y30" t="inlineStr">
        <is>
          <t>台阶高度修正基准m</t>
        </is>
      </c>
      <c r="Z30" t="n">
        <v>10</v>
      </c>
    </row>
    <row r="31">
      <c r="A31" s="5" t="inlineStr">
        <is>
          <t>W4.5</t>
        </is>
      </c>
      <c r="B31" s="14" t="inlineStr">
        <is>
          <t>三一</t>
        </is>
      </c>
      <c r="C31" s="14" t="inlineStr">
        <is>
          <t>SY705H-S</t>
        </is>
      </c>
      <c r="D31" s="77" t="n">
        <v>4.5</v>
      </c>
      <c r="E31" s="77" t="n">
        <v>70</v>
      </c>
      <c r="F31" s="78" t="inlineStr">
        <is>
          <t>柴油</t>
        </is>
      </c>
      <c r="G31" s="14" t="n">
        <v>350</v>
      </c>
      <c r="H31" s="77" t="n">
        <v>26</v>
      </c>
      <c r="I31" s="77" t="n">
        <v>1</v>
      </c>
      <c r="J31" s="77" t="n">
        <v>250</v>
      </c>
      <c r="K31" s="77">
        <f>250*$Z$9</f>
        <v/>
      </c>
      <c r="L31" s="48" t="n">
        <v>0.1</v>
      </c>
      <c r="M31" s="77" t="n">
        <v>3500</v>
      </c>
      <c r="N31" s="77" t="n">
        <v>400</v>
      </c>
      <c r="O31" s="79" t="n">
        <v>600</v>
      </c>
      <c r="Y31" t="inlineStr">
        <is>
          <t>台阶高度单耗修正系数</t>
        </is>
      </c>
      <c r="Z31" t="n">
        <v>0.015</v>
      </c>
    </row>
    <row r="32">
      <c r="A32" s="5" t="inlineStr">
        <is>
          <t>W5.5</t>
        </is>
      </c>
      <c r="B32" s="14" t="inlineStr">
        <is>
          <t>三一</t>
        </is>
      </c>
      <c r="C32" s="14" t="inlineStr">
        <is>
          <t>SY870H-S</t>
        </is>
      </c>
      <c r="D32" s="77" t="n">
        <v>5.5</v>
      </c>
      <c r="E32" s="77" t="n">
        <v>85</v>
      </c>
      <c r="F32" s="78" t="inlineStr">
        <is>
          <t>柴油</t>
        </is>
      </c>
      <c r="G32" s="14" t="n">
        <v>382</v>
      </c>
      <c r="H32" s="77" t="n">
        <v>30</v>
      </c>
      <c r="I32" s="77" t="n">
        <v>1</v>
      </c>
      <c r="J32" s="77" t="n">
        <v>420</v>
      </c>
      <c r="K32" s="77">
        <f>250*$Z$9</f>
        <v/>
      </c>
      <c r="L32" s="48" t="n">
        <v>0.1</v>
      </c>
      <c r="M32" s="77" t="n">
        <v>6300</v>
      </c>
      <c r="N32" s="77" t="n">
        <v>450</v>
      </c>
      <c r="O32" s="79" t="n">
        <v>550</v>
      </c>
    </row>
    <row r="33">
      <c r="A33" s="5" t="inlineStr">
        <is>
          <t>W6.5</t>
        </is>
      </c>
      <c r="B33" s="14" t="inlineStr">
        <is>
          <t>徐工</t>
        </is>
      </c>
      <c r="C33" s="14" t="inlineStr">
        <is>
          <t>XE1050</t>
        </is>
      </c>
      <c r="D33" s="77" t="n">
        <v>6.5</v>
      </c>
      <c r="E33" s="77" t="n">
        <v>105</v>
      </c>
      <c r="F33" s="78" t="inlineStr">
        <is>
          <t>柴油</t>
        </is>
      </c>
      <c r="G33" s="14" t="n">
        <v>420</v>
      </c>
      <c r="H33" s="77" t="n">
        <v>34</v>
      </c>
      <c r="I33" s="77" t="n">
        <v>1</v>
      </c>
      <c r="J33" s="77" t="n">
        <v>520</v>
      </c>
      <c r="K33" s="77">
        <f>250*$Z$9</f>
        <v/>
      </c>
      <c r="L33" s="48" t="n">
        <v>0.1</v>
      </c>
      <c r="M33" s="77" t="n">
        <v>8200</v>
      </c>
      <c r="N33" s="77" t="n">
        <v>500</v>
      </c>
      <c r="O33" s="79" t="n">
        <v>500</v>
      </c>
    </row>
    <row r="34">
      <c r="A34" s="5" t="inlineStr">
        <is>
          <t>W8.0</t>
        </is>
      </c>
      <c r="B34" s="14" t="inlineStr">
        <is>
          <t>太重</t>
        </is>
      </c>
      <c r="C34" s="14" t="inlineStr">
        <is>
          <t>TZ1000</t>
        </is>
      </c>
      <c r="D34" s="77" t="n">
        <v>8</v>
      </c>
      <c r="E34" s="77" t="n">
        <v>100</v>
      </c>
      <c r="F34" s="78" t="inlineStr">
        <is>
          <t>柴油</t>
        </is>
      </c>
      <c r="G34" s="14" t="n">
        <v>510</v>
      </c>
      <c r="H34" s="77" t="n">
        <v>40</v>
      </c>
      <c r="I34" s="77" t="n">
        <v>1</v>
      </c>
      <c r="J34" s="77" t="n">
        <v>650</v>
      </c>
      <c r="K34" s="77">
        <f>250*$Z$9</f>
        <v/>
      </c>
      <c r="L34" s="48" t="n">
        <v>0.1</v>
      </c>
      <c r="M34" s="77" t="n">
        <v>8500</v>
      </c>
      <c r="N34" s="77" t="n">
        <v>550</v>
      </c>
      <c r="O34" s="79" t="n">
        <v>450</v>
      </c>
    </row>
    <row r="35">
      <c r="A35" s="5" t="inlineStr">
        <is>
          <t>E6.5</t>
        </is>
      </c>
      <c r="B35" s="14" t="inlineStr">
        <is>
          <t>太重</t>
        </is>
      </c>
      <c r="C35" s="14" t="inlineStr">
        <is>
          <t>TZ1000E</t>
        </is>
      </c>
      <c r="D35" s="77" t="n">
        <v>6.5</v>
      </c>
      <c r="E35" s="77" t="n">
        <v>105</v>
      </c>
      <c r="F35" s="78" t="inlineStr">
        <is>
          <t>电动</t>
        </is>
      </c>
      <c r="G35" s="14" t="n">
        <v>420</v>
      </c>
      <c r="H35" s="77" t="n">
        <v>26.25</v>
      </c>
      <c r="I35" s="77" t="n">
        <v>1</v>
      </c>
      <c r="J35" s="77" t="n">
        <v>680</v>
      </c>
      <c r="K35" s="77">
        <f>250*$Z$9</f>
        <v/>
      </c>
      <c r="L35" s="48" t="n">
        <v>0.1</v>
      </c>
      <c r="M35" s="77" t="n">
        <v>8000</v>
      </c>
      <c r="N35" s="77" t="n">
        <v>500</v>
      </c>
      <c r="O35" s="79" t="n">
        <v>500</v>
      </c>
    </row>
    <row r="36" ht="14.85" customHeight="1">
      <c r="A36" s="11" t="inlineStr">
        <is>
          <t>E8.0</t>
        </is>
      </c>
      <c r="B36" s="56" t="inlineStr">
        <is>
          <t>沃尔沃</t>
        </is>
      </c>
      <c r="C36" s="56" t="inlineStr">
        <is>
          <t>EC1500E</t>
        </is>
      </c>
      <c r="D36" s="83" t="n">
        <v>8</v>
      </c>
      <c r="E36" s="83" t="n">
        <v>150</v>
      </c>
      <c r="F36" s="84" t="inlineStr">
        <is>
          <t>电动</t>
        </is>
      </c>
      <c r="G36" s="56" t="n">
        <v>630</v>
      </c>
      <c r="H36" s="83" t="n">
        <v>35</v>
      </c>
      <c r="I36" s="83" t="n">
        <v>1</v>
      </c>
      <c r="J36" s="83" t="n">
        <v>850</v>
      </c>
      <c r="K36" s="77">
        <f>250*$Z$9</f>
        <v/>
      </c>
      <c r="L36" s="48" t="n">
        <v>0.1</v>
      </c>
      <c r="M36" s="83" t="n">
        <v>9500</v>
      </c>
      <c r="N36" s="83" t="n">
        <v>550</v>
      </c>
      <c r="O36" s="85" t="n">
        <v>450</v>
      </c>
    </row>
    <row r="37" ht="15.75" customHeight="1">
      <c r="A37" s="86" t="n"/>
      <c r="B37" s="87" t="n"/>
      <c r="C37" s="87" t="n"/>
      <c r="D37" s="87" t="n"/>
      <c r="E37" s="87" t="n"/>
      <c r="F37" s="87" t="n"/>
      <c r="G37" s="87" t="n"/>
      <c r="H37" s="87" t="n"/>
      <c r="I37" s="87" t="n"/>
      <c r="J37" s="87" t="n"/>
      <c r="K37" s="87" t="n"/>
      <c r="L37" s="87" t="n"/>
      <c r="M37" s="87" t="n"/>
      <c r="N37" s="87" t="n"/>
      <c r="O37" s="88" t="n"/>
    </row>
    <row r="38" ht="15" customHeight="1">
      <c r="A38" s="89" t="inlineStr">
        <is>
          <t>【矿用运输车参数】</t>
        </is>
      </c>
      <c r="B38" s="222" t="n"/>
      <c r="C38" s="222" t="n"/>
      <c r="D38" s="222" t="n"/>
      <c r="E38" s="222" t="n"/>
      <c r="F38" s="222" t="n"/>
      <c r="G38" s="222" t="n"/>
      <c r="H38" s="222" t="n"/>
      <c r="I38" s="222" t="n"/>
      <c r="J38" s="222" t="n"/>
      <c r="K38" s="222" t="n"/>
      <c r="L38" s="222" t="n"/>
      <c r="M38" s="222" t="n"/>
      <c r="N38" s="222" t="n"/>
      <c r="O38" s="222" t="n"/>
      <c r="P38" s="222" t="n"/>
      <c r="Q38" s="222" t="n"/>
      <c r="R38" s="60" t="inlineStr">
        <is>
          <t>【坡度对速度及油耗/电耗修正系数】</t>
        </is>
      </c>
      <c r="S38" s="217" t="n"/>
      <c r="T38" s="217" t="n"/>
      <c r="U38" s="217" t="n"/>
      <c r="V38" s="217" t="n"/>
      <c r="W38" s="217" t="n"/>
      <c r="X38" s="221" t="n"/>
      <c r="Y38" t="inlineStr">
        <is>
          <t>说明：R40:R44是按方向×坡度区间的通用系数表，与矿卡型号无关；故矿卡参数表R45:R47行该区域留空。</t>
        </is>
      </c>
    </row>
    <row r="39" ht="37.3" customHeight="1">
      <c r="A39" s="37" t="inlineStr">
        <is>
          <t>设备代号</t>
        </is>
      </c>
      <c r="B39" s="37" t="inlineStr">
        <is>
          <t>品牌</t>
        </is>
      </c>
      <c r="C39" s="40" t="inlineStr">
        <is>
          <t>型号</t>
        </is>
      </c>
      <c r="D39" s="40" t="inlineStr">
        <is>
          <t>载重(t)</t>
        </is>
      </c>
      <c r="E39" s="40" t="inlineStr">
        <is>
          <t>动力类型</t>
        </is>
      </c>
      <c r="F39" s="40" t="inlineStr">
        <is>
          <t>功率(kW)</t>
        </is>
      </c>
      <c r="G39" s="40" t="inlineStr">
        <is>
          <t>空载消耗每车(L/km或kWh/km)</t>
        </is>
      </c>
      <c r="H39" s="40" t="inlineStr">
        <is>
          <t>重载上坡油耗(L/km或kWh/km)</t>
        </is>
      </c>
      <c r="I39" s="40" t="inlineStr">
        <is>
          <t>重载下坡油耗(L/km或kWh/km)</t>
        </is>
      </c>
      <c r="J39" s="40" t="inlineStr">
        <is>
          <t>定员</t>
        </is>
      </c>
      <c r="K39" s="40" t="inlineStr">
        <is>
          <t>原值(万元)</t>
        </is>
      </c>
      <c r="L39" s="40" t="inlineStr">
        <is>
          <t>耐用总台班(年250台班，8年折旧）</t>
        </is>
      </c>
      <c r="M39" s="40" t="inlineStr">
        <is>
          <t>残值率</t>
        </is>
      </c>
      <c r="N39" s="40" t="inlineStr">
        <is>
          <t>租赁单价(元/台班)</t>
        </is>
      </c>
      <c r="O39" s="40" t="inlineStr">
        <is>
          <t>空车速度(km/h)</t>
        </is>
      </c>
      <c r="P39" s="40" t="inlineStr">
        <is>
          <t>重车速度(km/h)</t>
        </is>
      </c>
      <c r="Q39" s="91" t="inlineStr">
        <is>
          <t>卸车时间(min)</t>
        </is>
      </c>
      <c r="R39" s="39" t="inlineStr">
        <is>
          <t>方向</t>
        </is>
      </c>
      <c r="S39" s="40" t="inlineStr">
        <is>
          <t>坡度下限(%)</t>
        </is>
      </c>
      <c r="T39" s="40" t="inlineStr">
        <is>
          <t>坡度上限(%)</t>
        </is>
      </c>
      <c r="U39" s="40" t="inlineStr">
        <is>
          <t>空车速度系数</t>
        </is>
      </c>
      <c r="V39" s="40" t="inlineStr">
        <is>
          <t>重车速度系数</t>
        </is>
      </c>
      <c r="W39" s="40" t="inlineStr">
        <is>
          <t>柴油油耗系数</t>
        </is>
      </c>
      <c r="X39" s="41" t="inlineStr">
        <is>
          <t>电动电耗系数</t>
        </is>
      </c>
      <c r="Y39" t="inlineStr">
        <is>
          <t>⚠待核：W列油耗系数的"基准坡度"语义需明确——当前W41=W40=1隐含中坡基准</t>
        </is>
      </c>
    </row>
    <row r="40">
      <c r="A40" s="5" t="inlineStr">
        <is>
          <t>T30H</t>
        </is>
      </c>
      <c r="B40" s="14" t="inlineStr">
        <is>
          <t>中国重汽</t>
        </is>
      </c>
      <c r="C40" s="14" t="inlineStr">
        <is>
          <t>豪沃TX 8×4</t>
        </is>
      </c>
      <c r="D40" s="77" t="n">
        <v>30</v>
      </c>
      <c r="E40" s="14" t="inlineStr">
        <is>
          <t>柴油</t>
        </is>
      </c>
      <c r="F40" s="14" t="n">
        <v>257</v>
      </c>
      <c r="G40" s="45" t="n">
        <v>0.5</v>
      </c>
      <c r="H40" s="45" t="n">
        <v>1.75</v>
      </c>
      <c r="I40" s="45">
        <f>G40*1.05</f>
        <v/>
      </c>
      <c r="J40" s="77" t="n">
        <v>1</v>
      </c>
      <c r="K40" s="45" t="n">
        <v>35</v>
      </c>
      <c r="L40" s="77">
        <f>250*$Z$8</f>
        <v/>
      </c>
      <c r="M40" s="48" t="n">
        <v>0.1</v>
      </c>
      <c r="N40" s="92" t="n">
        <v>700</v>
      </c>
      <c r="O40" s="77" t="n">
        <v>35</v>
      </c>
      <c r="P40" s="77" t="n">
        <v>25</v>
      </c>
      <c r="Q40" s="93" t="n">
        <v>1</v>
      </c>
      <c r="R40" s="94" t="inlineStr">
        <is>
          <t>平路</t>
        </is>
      </c>
      <c r="S40" s="95" t="n">
        <v>0</v>
      </c>
      <c r="T40" s="95" t="n">
        <v>1.99</v>
      </c>
      <c r="U40" s="96" t="n">
        <v>1</v>
      </c>
      <c r="V40" s="96" t="n">
        <v>1</v>
      </c>
      <c r="W40" s="96" t="n">
        <v>1</v>
      </c>
      <c r="X40" s="97" t="n">
        <v>1</v>
      </c>
    </row>
    <row r="41">
      <c r="A41" s="5" t="inlineStr">
        <is>
          <t>E30S</t>
        </is>
      </c>
      <c r="B41" s="14" t="inlineStr">
        <is>
          <t>三一重工</t>
        </is>
      </c>
      <c r="C41" s="14" t="inlineStr">
        <is>
          <t>C8 350kWh 8×4</t>
        </is>
      </c>
      <c r="D41" s="77" t="n">
        <v>31</v>
      </c>
      <c r="E41" s="14" t="inlineStr">
        <is>
          <t>纯电</t>
        </is>
      </c>
      <c r="F41" s="14" t="n">
        <v>405</v>
      </c>
      <c r="G41" s="45" t="n">
        <v>0.5</v>
      </c>
      <c r="H41" s="45" t="n">
        <v>1.8</v>
      </c>
      <c r="I41" s="45">
        <f>G41*1.05</f>
        <v/>
      </c>
      <c r="J41" s="77" t="n">
        <v>1</v>
      </c>
      <c r="K41" s="45" t="n">
        <v>62</v>
      </c>
      <c r="L41" s="77">
        <f>250*$Z$8</f>
        <v/>
      </c>
      <c r="M41" s="48" t="n">
        <v>0.1</v>
      </c>
      <c r="N41" s="92" t="n">
        <v>1500</v>
      </c>
      <c r="O41" s="77" t="n">
        <v>35</v>
      </c>
      <c r="P41" s="77" t="n">
        <v>25</v>
      </c>
      <c r="Q41" s="93" t="n">
        <v>1</v>
      </c>
      <c r="R41" s="94" t="inlineStr">
        <is>
          <t>上坡</t>
        </is>
      </c>
      <c r="S41" s="95" t="n">
        <v>2</v>
      </c>
      <c r="T41" s="95" t="n">
        <v>7.99</v>
      </c>
      <c r="U41" s="96" t="n">
        <v>0.85</v>
      </c>
      <c r="V41" s="96" t="n">
        <v>0.75</v>
      </c>
      <c r="W41" s="96" t="n">
        <v>1</v>
      </c>
      <c r="X41" s="97" t="n">
        <v>2.2</v>
      </c>
    </row>
    <row r="42">
      <c r="A42" s="5" t="inlineStr">
        <is>
          <t>T65B</t>
        </is>
      </c>
      <c r="B42" s="14" t="inlineStr">
        <is>
          <t>北方重工</t>
        </is>
      </c>
      <c r="C42" s="14" t="inlineStr">
        <is>
          <t>TR70</t>
        </is>
      </c>
      <c r="D42" s="77" t="n">
        <v>65</v>
      </c>
      <c r="E42" s="14" t="inlineStr">
        <is>
          <t>柴油</t>
        </is>
      </c>
      <c r="F42" s="14" t="n">
        <v>520</v>
      </c>
      <c r="G42" s="45" t="n">
        <v>0.85</v>
      </c>
      <c r="H42" s="45" t="n">
        <v>6.13</v>
      </c>
      <c r="I42" s="45">
        <f>G42*1.05</f>
        <v/>
      </c>
      <c r="J42" s="77" t="n">
        <v>1</v>
      </c>
      <c r="K42" s="45" t="n">
        <v>80</v>
      </c>
      <c r="L42" s="77">
        <f>250*$Z$8</f>
        <v/>
      </c>
      <c r="M42" s="48" t="n">
        <v>0.1</v>
      </c>
      <c r="N42" s="92" t="n">
        <v>1150</v>
      </c>
      <c r="O42" s="77" t="n">
        <v>30</v>
      </c>
      <c r="P42" s="77" t="n">
        <v>20</v>
      </c>
      <c r="Q42" s="93" t="n">
        <v>1.8</v>
      </c>
      <c r="R42" s="94" t="inlineStr">
        <is>
          <t>上坡</t>
        </is>
      </c>
      <c r="S42" s="95" t="n">
        <v>8</v>
      </c>
      <c r="T42" s="95" t="n">
        <v>15</v>
      </c>
      <c r="U42" s="96" t="n">
        <v>0.75</v>
      </c>
      <c r="V42" s="96" t="n">
        <v>0.45</v>
      </c>
      <c r="W42" s="96" t="n">
        <v>1.15</v>
      </c>
      <c r="X42" s="97" t="n">
        <v>3</v>
      </c>
    </row>
    <row r="43">
      <c r="A43" s="5" t="inlineStr">
        <is>
          <t>T60S</t>
        </is>
      </c>
      <c r="B43" s="14" t="inlineStr">
        <is>
          <t>三一重工</t>
        </is>
      </c>
      <c r="C43" s="14" t="inlineStr">
        <is>
          <t>SKT90S</t>
        </is>
      </c>
      <c r="D43" s="77" t="n">
        <v>60</v>
      </c>
      <c r="E43" s="14" t="inlineStr">
        <is>
          <t>柴油</t>
        </is>
      </c>
      <c r="F43" s="14" t="n">
        <v>550</v>
      </c>
      <c r="G43" s="45" t="n">
        <v>1</v>
      </c>
      <c r="H43" s="45" t="n">
        <v>5.6</v>
      </c>
      <c r="I43" s="45">
        <f>G43*1.05</f>
        <v/>
      </c>
      <c r="J43" s="77" t="n">
        <v>1</v>
      </c>
      <c r="K43" s="45" t="n">
        <v>70</v>
      </c>
      <c r="L43" s="77">
        <f>250*$Z$8</f>
        <v/>
      </c>
      <c r="M43" s="48" t="n">
        <v>0.1</v>
      </c>
      <c r="N43" s="92" t="n">
        <v>1150</v>
      </c>
      <c r="O43" s="77" t="n">
        <v>30</v>
      </c>
      <c r="P43" s="77" t="n">
        <v>20</v>
      </c>
      <c r="Q43" s="93" t="n">
        <v>1.5</v>
      </c>
      <c r="R43" s="94" t="inlineStr">
        <is>
          <t>下坡</t>
        </is>
      </c>
      <c r="S43" s="95" t="n">
        <v>2</v>
      </c>
      <c r="T43" s="95" t="n">
        <v>7.99</v>
      </c>
      <c r="U43" s="96" t="n">
        <v>0.9</v>
      </c>
      <c r="V43" s="96" t="n">
        <v>0.9</v>
      </c>
      <c r="W43" s="96" t="n">
        <v>1</v>
      </c>
      <c r="X43" s="97" t="n">
        <v>0.6</v>
      </c>
    </row>
    <row r="44" ht="14.85" customHeight="1">
      <c r="A44" s="5" t="inlineStr">
        <is>
          <t>T91B</t>
        </is>
      </c>
      <c r="B44" s="14" t="inlineStr">
        <is>
          <t>北方重工</t>
        </is>
      </c>
      <c r="C44" s="14" t="inlineStr">
        <is>
          <t>TR100</t>
        </is>
      </c>
      <c r="D44" s="77" t="n">
        <v>91</v>
      </c>
      <c r="E44" s="14" t="inlineStr">
        <is>
          <t>柴油</t>
        </is>
      </c>
      <c r="F44" s="14" t="n">
        <v>703</v>
      </c>
      <c r="G44" s="45" t="n">
        <v>1.11</v>
      </c>
      <c r="H44" s="45" t="n">
        <v>8.1</v>
      </c>
      <c r="I44" s="45">
        <f>G44*1.05</f>
        <v/>
      </c>
      <c r="J44" s="77" t="n">
        <v>1</v>
      </c>
      <c r="K44" s="45" t="n">
        <v>120</v>
      </c>
      <c r="L44" s="77">
        <f>250*$Z$8</f>
        <v/>
      </c>
      <c r="M44" s="48" t="n">
        <v>0.1</v>
      </c>
      <c r="N44" s="92" t="n">
        <v>1450</v>
      </c>
      <c r="O44" s="77" t="n">
        <v>28</v>
      </c>
      <c r="P44" s="77" t="n">
        <v>18</v>
      </c>
      <c r="Q44" s="93" t="n">
        <v>2</v>
      </c>
      <c r="R44" s="98" t="inlineStr">
        <is>
          <t>下坡</t>
        </is>
      </c>
      <c r="S44" s="99" t="n">
        <v>8</v>
      </c>
      <c r="T44" s="99" t="n">
        <v>15</v>
      </c>
      <c r="U44" s="100" t="n">
        <v>0.8</v>
      </c>
      <c r="V44" s="100" t="n">
        <v>0.85</v>
      </c>
      <c r="W44" s="100" t="n">
        <v>0.9</v>
      </c>
      <c r="X44" s="101" t="n">
        <v>0.4</v>
      </c>
    </row>
    <row r="45">
      <c r="A45" s="5" t="inlineStr">
        <is>
          <t>E60Y</t>
        </is>
      </c>
      <c r="B45" s="14" t="inlineStr">
        <is>
          <t>宇通</t>
        </is>
      </c>
      <c r="C45" s="14" t="inlineStr">
        <is>
          <t>YTK90E</t>
        </is>
      </c>
      <c r="D45" s="77" t="n">
        <v>60</v>
      </c>
      <c r="E45" s="14" t="inlineStr">
        <is>
          <t>纯电</t>
        </is>
      </c>
      <c r="F45" s="14" t="n">
        <v>350</v>
      </c>
      <c r="G45" s="45" t="n">
        <v>0.4</v>
      </c>
      <c r="H45" s="45" t="n">
        <v>3</v>
      </c>
      <c r="I45" s="45">
        <f>G45*1.05</f>
        <v/>
      </c>
      <c r="J45" s="77" t="n">
        <v>1</v>
      </c>
      <c r="K45" s="45" t="n">
        <v>115</v>
      </c>
      <c r="L45" s="77">
        <f>250*$Z$8</f>
        <v/>
      </c>
      <c r="M45" s="48" t="n">
        <v>0.1</v>
      </c>
      <c r="N45" s="92" t="n">
        <v>2300</v>
      </c>
      <c r="O45" s="77" t="n">
        <v>30</v>
      </c>
      <c r="P45" s="77" t="n">
        <v>20</v>
      </c>
      <c r="Q45" s="50" t="n">
        <v>1.8</v>
      </c>
    </row>
    <row r="46">
      <c r="A46" s="5" t="inlineStr">
        <is>
          <t>E93L</t>
        </is>
      </c>
      <c r="B46" s="14" t="inlineStr">
        <is>
          <t>临工重机</t>
        </is>
      </c>
      <c r="C46" s="14" t="inlineStr">
        <is>
          <t>RTE136</t>
        </is>
      </c>
      <c r="D46" s="77" t="n">
        <v>93</v>
      </c>
      <c r="E46" s="14" t="inlineStr">
        <is>
          <t>纯电</t>
        </is>
      </c>
      <c r="F46" s="14" t="n">
        <v>840</v>
      </c>
      <c r="G46" s="45" t="n">
        <v>0.5</v>
      </c>
      <c r="H46" s="45" t="n">
        <v>4.8</v>
      </c>
      <c r="I46" s="45">
        <f>G46*1.05</f>
        <v/>
      </c>
      <c r="J46" s="77" t="n">
        <v>1</v>
      </c>
      <c r="K46" s="45" t="n">
        <v>180</v>
      </c>
      <c r="L46" s="77">
        <f>250*$Z$8</f>
        <v/>
      </c>
      <c r="M46" s="48" t="n">
        <v>0.1</v>
      </c>
      <c r="N46" s="92" t="n">
        <v>3300</v>
      </c>
      <c r="O46" s="77" t="n">
        <v>30</v>
      </c>
      <c r="P46" s="77" t="n">
        <v>20</v>
      </c>
      <c r="Q46" s="50" t="n">
        <v>1.5</v>
      </c>
    </row>
    <row r="47" ht="14.85" customHeight="1">
      <c r="A47" s="11" t="inlineStr">
        <is>
          <t>E75T</t>
        </is>
      </c>
      <c r="B47" s="56" t="inlineStr">
        <is>
          <t>同力重工</t>
        </is>
      </c>
      <c r="C47" s="56" t="inlineStr">
        <is>
          <t>TLE120</t>
        </is>
      </c>
      <c r="D47" s="83" t="n">
        <v>75</v>
      </c>
      <c r="E47" s="56" t="inlineStr">
        <is>
          <t>纯电</t>
        </is>
      </c>
      <c r="F47" s="56" t="n">
        <v>500</v>
      </c>
      <c r="G47" s="57" t="n">
        <v>0.5</v>
      </c>
      <c r="H47" s="57" t="n">
        <v>3.6</v>
      </c>
      <c r="I47" s="57">
        <f>G47*1.05</f>
        <v/>
      </c>
      <c r="J47" s="83" t="n">
        <v>1</v>
      </c>
      <c r="K47" s="57" t="n">
        <v>145</v>
      </c>
      <c r="L47" s="77">
        <f>250*$Z$8</f>
        <v/>
      </c>
      <c r="M47" s="59" t="n">
        <v>0.1</v>
      </c>
      <c r="N47" s="92" t="n">
        <v>2700</v>
      </c>
      <c r="O47" s="83" t="n">
        <v>28</v>
      </c>
      <c r="P47" s="83" t="n">
        <v>18</v>
      </c>
      <c r="Q47" s="55" t="n">
        <v>2</v>
      </c>
    </row>
    <row r="48">
      <c r="A48" s="102" t="n"/>
      <c r="B48" s="103" t="n"/>
      <c r="C48" s="103" t="n"/>
      <c r="D48" s="103" t="n"/>
      <c r="E48" s="103" t="n"/>
      <c r="F48" s="103" t="n"/>
      <c r="G48" s="104" t="n"/>
      <c r="H48" s="104" t="n"/>
      <c r="I48" s="104" t="n"/>
      <c r="J48" s="103" t="n"/>
      <c r="K48" s="104" t="n"/>
      <c r="L48" s="103" t="n"/>
      <c r="M48" s="105" t="n"/>
      <c r="N48" s="103" t="n"/>
      <c r="O48" s="106" t="n"/>
      <c r="P48" s="107" t="n"/>
      <c r="Q48" s="108" t="n"/>
    </row>
    <row r="49" ht="15" customHeight="1">
      <c r="A49" s="109" t="inlineStr">
        <is>
          <t>【钻机设备参数】</t>
        </is>
      </c>
      <c r="B49" s="223" t="n"/>
      <c r="C49" s="223" t="n"/>
      <c r="D49" s="223" t="n"/>
      <c r="E49" s="223" t="n"/>
      <c r="F49" s="223" t="n"/>
      <c r="G49" s="223" t="n"/>
      <c r="H49" s="223" t="n"/>
      <c r="I49" s="223" t="n"/>
      <c r="J49" s="223" t="n"/>
      <c r="K49" s="223" t="n"/>
      <c r="L49" s="223" t="n"/>
      <c r="M49" s="223" t="n"/>
      <c r="N49" s="223" t="n"/>
      <c r="O49" s="224" t="n"/>
    </row>
    <row r="50" ht="24.85" customHeight="1">
      <c r="A50" s="40" t="inlineStr">
        <is>
          <t>设备代号</t>
        </is>
      </c>
      <c r="B50" s="40" t="inlineStr">
        <is>
          <t>品牌</t>
        </is>
      </c>
      <c r="C50" s="40" t="inlineStr">
        <is>
          <t>型号</t>
        </is>
      </c>
      <c r="D50" s="40" t="inlineStr">
        <is>
          <t>动力类型</t>
        </is>
      </c>
      <c r="E50" s="40" t="inlineStr">
        <is>
          <t>功率(kW)</t>
        </is>
      </c>
      <c r="F50" s="40" t="inlineStr">
        <is>
          <t>换杆方式</t>
        </is>
      </c>
      <c r="G50" s="40" t="inlineStr">
        <is>
          <t>适用孔径下限(mm)</t>
        </is>
      </c>
      <c r="H50" s="40" t="inlineStr">
        <is>
          <t>适用孔径上限(mm)</t>
        </is>
      </c>
      <c r="I50" s="40" t="inlineStr">
        <is>
          <t>小时消耗量(L/h)</t>
        </is>
      </c>
      <c r="J50" s="40" t="inlineStr">
        <is>
          <t>定员</t>
        </is>
      </c>
      <c r="K50" s="40" t="inlineStr">
        <is>
          <t>原值(万元)</t>
        </is>
      </c>
      <c r="L50" s="40" t="inlineStr">
        <is>
          <t>耐用总台班</t>
        </is>
      </c>
      <c r="M50" s="40" t="inlineStr">
        <is>
          <t>残值率</t>
        </is>
      </c>
      <c r="N50" s="40" t="inlineStr">
        <is>
          <t>租赁单价(元/台班)</t>
        </is>
      </c>
      <c r="O50" s="40" t="inlineStr">
        <is>
          <t>钻机类型</t>
        </is>
      </c>
    </row>
    <row r="51">
      <c r="A51" s="14" t="inlineStr">
        <is>
          <t>ZG90</t>
        </is>
      </c>
      <c r="B51" s="14" t="inlineStr">
        <is>
          <t>志高</t>
        </is>
      </c>
      <c r="C51" s="14" t="inlineStr">
        <is>
          <t>ZEGA D480A</t>
        </is>
      </c>
      <c r="D51" s="14" t="inlineStr">
        <is>
          <t>柴油</t>
        </is>
      </c>
      <c r="E51" s="77" t="n">
        <v>160</v>
      </c>
      <c r="F51" s="14" t="inlineStr">
        <is>
          <t>自动</t>
        </is>
      </c>
      <c r="G51" s="14" t="n">
        <v>76</v>
      </c>
      <c r="H51" s="14" t="n">
        <v>115</v>
      </c>
      <c r="I51" s="45" t="n">
        <v>10</v>
      </c>
      <c r="J51" s="14" t="n">
        <v>1</v>
      </c>
      <c r="K51" s="77" t="n">
        <v>130</v>
      </c>
      <c r="L51" s="77" t="n">
        <v>4500</v>
      </c>
      <c r="M51" s="48" t="n">
        <v>0.05</v>
      </c>
      <c r="N51" s="92" t="n">
        <v>1500</v>
      </c>
      <c r="O51" s="14" t="inlineStr">
        <is>
          <t>潜孔</t>
        </is>
      </c>
    </row>
    <row r="52">
      <c r="A52" s="14" t="inlineStr">
        <is>
          <t>ZG120</t>
        </is>
      </c>
      <c r="B52" s="14" t="inlineStr">
        <is>
          <t>志高</t>
        </is>
      </c>
      <c r="C52" s="14" t="inlineStr">
        <is>
          <t>ZEGA D535</t>
        </is>
      </c>
      <c r="D52" s="14" t="inlineStr">
        <is>
          <t>柴油</t>
        </is>
      </c>
      <c r="E52" s="77" t="n">
        <v>220</v>
      </c>
      <c r="F52" s="14" t="inlineStr">
        <is>
          <t>自动</t>
        </is>
      </c>
      <c r="G52" s="14" t="n">
        <v>89</v>
      </c>
      <c r="H52" s="14" t="n">
        <v>127</v>
      </c>
      <c r="I52" s="45" t="n">
        <v>13.75</v>
      </c>
      <c r="J52" s="14" t="n">
        <v>1</v>
      </c>
      <c r="K52" s="77" t="n">
        <v>190</v>
      </c>
      <c r="L52" s="77" t="n">
        <v>4500</v>
      </c>
      <c r="M52" s="48" t="n">
        <v>0.05</v>
      </c>
      <c r="N52" s="92" t="n">
        <v>2000</v>
      </c>
      <c r="O52" s="14" t="inlineStr">
        <is>
          <t>潜孔</t>
        </is>
      </c>
    </row>
    <row r="53">
      <c r="A53" s="14" t="inlineStr">
        <is>
          <t>ACD7</t>
        </is>
      </c>
      <c r="B53" s="14" t="inlineStr">
        <is>
          <t>安百拓</t>
        </is>
      </c>
      <c r="C53" s="14" t="inlineStr">
        <is>
          <t>ROC D7 RRC</t>
        </is>
      </c>
      <c r="D53" s="14" t="inlineStr">
        <is>
          <t>柴油</t>
        </is>
      </c>
      <c r="E53" s="77" t="n">
        <v>168</v>
      </c>
      <c r="F53" s="14" t="inlineStr">
        <is>
          <t>自动</t>
        </is>
      </c>
      <c r="G53" s="14" t="n">
        <v>64</v>
      </c>
      <c r="H53" s="14" t="n">
        <v>115</v>
      </c>
      <c r="I53" s="45" t="n">
        <v>10.625</v>
      </c>
      <c r="J53" s="14" t="n">
        <v>1</v>
      </c>
      <c r="K53" s="77" t="n">
        <v>200</v>
      </c>
      <c r="L53" s="77" t="n">
        <v>5000</v>
      </c>
      <c r="M53" s="48" t="n">
        <v>0.05</v>
      </c>
      <c r="N53" s="92" t="n">
        <v>1800</v>
      </c>
      <c r="O53" s="14" t="inlineStr">
        <is>
          <t>潜孔</t>
        </is>
      </c>
    </row>
    <row r="54">
      <c r="A54" s="14" t="inlineStr">
        <is>
          <t>ACD9</t>
        </is>
      </c>
      <c r="B54" s="14" t="inlineStr">
        <is>
          <t>安百拓</t>
        </is>
      </c>
      <c r="C54" s="14" t="inlineStr">
        <is>
          <t>ROC D9 RRC</t>
        </is>
      </c>
      <c r="D54" s="14" t="inlineStr">
        <is>
          <t>柴油</t>
        </is>
      </c>
      <c r="E54" s="77" t="n">
        <v>168</v>
      </c>
      <c r="F54" s="14" t="inlineStr">
        <is>
          <t>自动</t>
        </is>
      </c>
      <c r="G54" s="14" t="n">
        <v>76</v>
      </c>
      <c r="H54" s="14" t="n">
        <v>115</v>
      </c>
      <c r="I54" s="45" t="n">
        <v>10.625</v>
      </c>
      <c r="J54" s="14" t="n">
        <v>1</v>
      </c>
      <c r="K54" s="77" t="n">
        <v>230</v>
      </c>
      <c r="L54" s="77" t="n">
        <v>5000</v>
      </c>
      <c r="M54" s="48" t="n">
        <v>0.05</v>
      </c>
      <c r="N54" s="92" t="n">
        <v>2100</v>
      </c>
      <c r="O54" s="14" t="inlineStr">
        <is>
          <t>潜孔</t>
        </is>
      </c>
    </row>
    <row r="55">
      <c r="A55" s="14" t="inlineStr">
        <is>
          <t>AC90</t>
        </is>
      </c>
      <c r="B55" s="14" t="inlineStr">
        <is>
          <t>安百拓</t>
        </is>
      </c>
      <c r="C55" s="14" t="inlineStr">
        <is>
          <t>FlexiROC T35</t>
        </is>
      </c>
      <c r="D55" s="14" t="inlineStr">
        <is>
          <t>柴油</t>
        </is>
      </c>
      <c r="E55" s="77" t="n">
        <v>168</v>
      </c>
      <c r="F55" s="14" t="inlineStr">
        <is>
          <t>人工</t>
        </is>
      </c>
      <c r="G55" s="14" t="n">
        <v>64</v>
      </c>
      <c r="H55" s="14" t="n">
        <v>115</v>
      </c>
      <c r="I55" s="45" t="n">
        <v>10.625</v>
      </c>
      <c r="J55" s="14" t="n">
        <v>2</v>
      </c>
      <c r="K55" s="77" t="n">
        <v>200</v>
      </c>
      <c r="L55" s="77" t="n">
        <v>5000</v>
      </c>
      <c r="M55" s="48" t="n">
        <v>0.05</v>
      </c>
      <c r="N55" s="92" t="n">
        <v>2300</v>
      </c>
      <c r="O55" s="14" t="inlineStr">
        <is>
          <t>潜孔</t>
        </is>
      </c>
    </row>
    <row r="56">
      <c r="A56" s="14" t="inlineStr">
        <is>
          <t>AC120</t>
        </is>
      </c>
      <c r="B56" s="14" t="inlineStr">
        <is>
          <t>安百拓</t>
        </is>
      </c>
      <c r="C56" s="14" t="inlineStr">
        <is>
          <t>FlexiROC T40</t>
        </is>
      </c>
      <c r="D56" s="14" t="inlineStr">
        <is>
          <t>柴油</t>
        </is>
      </c>
      <c r="E56" s="77" t="n">
        <v>235</v>
      </c>
      <c r="F56" s="14" t="inlineStr">
        <is>
          <t>人工</t>
        </is>
      </c>
      <c r="G56" s="14" t="n">
        <v>76</v>
      </c>
      <c r="H56" s="14" t="n">
        <v>115</v>
      </c>
      <c r="I56" s="45" t="n">
        <v>14.375</v>
      </c>
      <c r="J56" s="14" t="n">
        <v>2</v>
      </c>
      <c r="K56" s="77" t="n">
        <v>280</v>
      </c>
      <c r="L56" s="77" t="n">
        <v>5000</v>
      </c>
      <c r="M56" s="48" t="n">
        <v>0.05</v>
      </c>
      <c r="N56" s="92" t="n">
        <v>2900</v>
      </c>
      <c r="O56" s="14" t="inlineStr">
        <is>
          <t>潜孔</t>
        </is>
      </c>
    </row>
    <row r="57">
      <c r="A57" s="14" t="inlineStr">
        <is>
          <t>KY200</t>
        </is>
      </c>
      <c r="B57" s="14" t="inlineStr">
        <is>
          <t>国产</t>
        </is>
      </c>
      <c r="C57" s="14" t="inlineStr">
        <is>
          <t>KY-200</t>
        </is>
      </c>
      <c r="D57" s="14" t="inlineStr">
        <is>
          <t>柴油</t>
        </is>
      </c>
      <c r="E57" s="77" t="n">
        <v>280</v>
      </c>
      <c r="F57" s="14" t="inlineStr">
        <is>
          <t>自动</t>
        </is>
      </c>
      <c r="G57" s="14" t="n">
        <v>150</v>
      </c>
      <c r="H57" s="14" t="n">
        <v>200</v>
      </c>
      <c r="I57" s="45" t="n">
        <v>35</v>
      </c>
      <c r="J57" s="14" t="n">
        <v>1.5</v>
      </c>
      <c r="K57" s="77" t="n">
        <v>350</v>
      </c>
      <c r="L57" s="77" t="n">
        <v>5000</v>
      </c>
      <c r="M57" s="48" t="n">
        <v>0.05</v>
      </c>
      <c r="N57" s="92" t="n">
        <v>3500</v>
      </c>
      <c r="O57" s="14" t="inlineStr">
        <is>
          <t>牙轮</t>
        </is>
      </c>
    </row>
    <row r="58">
      <c r="A58" s="14" t="inlineStr">
        <is>
          <t>KY250</t>
        </is>
      </c>
      <c r="B58" s="14" t="inlineStr">
        <is>
          <t>国产</t>
        </is>
      </c>
      <c r="C58" s="14" t="inlineStr">
        <is>
          <t>KY-250</t>
        </is>
      </c>
      <c r="D58" s="14" t="inlineStr">
        <is>
          <t>柴油</t>
        </is>
      </c>
      <c r="E58" s="77" t="n">
        <v>350</v>
      </c>
      <c r="F58" s="14" t="inlineStr">
        <is>
          <t>自动</t>
        </is>
      </c>
      <c r="G58" s="14" t="n">
        <v>200</v>
      </c>
      <c r="H58" s="14" t="n">
        <v>250</v>
      </c>
      <c r="I58" s="45" t="n">
        <v>42</v>
      </c>
      <c r="J58" s="14" t="n">
        <v>1.5</v>
      </c>
      <c r="K58" s="77" t="n">
        <v>500</v>
      </c>
      <c r="L58" s="77" t="n">
        <v>5000</v>
      </c>
      <c r="M58" s="48" t="n">
        <v>0.05</v>
      </c>
      <c r="N58" s="92" t="n">
        <v>5000</v>
      </c>
      <c r="O58" s="14" t="inlineStr">
        <is>
          <t>牙轮</t>
        </is>
      </c>
    </row>
    <row r="60" ht="14.85" customHeight="1"/>
    <row r="61" ht="15" customHeight="1">
      <c r="A61" s="76" t="inlineStr">
        <is>
          <t>【钻头规格耗材参数（按孔径）】</t>
        </is>
      </c>
      <c r="B61" s="217" t="n"/>
      <c r="C61" s="217" t="n"/>
      <c r="D61" s="217" t="n"/>
      <c r="E61" s="217" t="n"/>
      <c r="F61" s="217" t="n"/>
      <c r="G61" s="217" t="n"/>
      <c r="H61" s="217" t="n"/>
      <c r="I61" s="217" t="n"/>
      <c r="J61" s="217" t="n"/>
      <c r="K61" s="217" t="n"/>
      <c r="L61" s="218" t="n"/>
    </row>
    <row r="62" ht="24.85" customHeight="1">
      <c r="A62" s="36" t="inlineStr">
        <is>
          <t>设备代号</t>
        </is>
      </c>
      <c r="B62" s="37" t="inlineStr">
        <is>
          <t>孔径(mm)</t>
        </is>
      </c>
      <c r="C62" s="37" t="inlineStr">
        <is>
          <t>钻头单价(元)</t>
        </is>
      </c>
      <c r="D62" s="37" t="inlineStr">
        <is>
          <t>钻头寿命(m)</t>
        </is>
      </c>
      <c r="E62" s="37" t="inlineStr">
        <is>
          <t>钻杆单价(元)</t>
        </is>
      </c>
      <c r="F62" s="37" t="inlineStr">
        <is>
          <t>钻杆寿命(m)</t>
        </is>
      </c>
      <c r="G62" s="37" t="inlineStr">
        <is>
          <t>冲击器单价(元)</t>
        </is>
      </c>
      <c r="H62" s="37" t="inlineStr">
        <is>
          <t>冲击器寿命(m)</t>
        </is>
      </c>
      <c r="I62" s="37" t="inlineStr">
        <is>
          <t>保养间隔(m)</t>
        </is>
      </c>
      <c r="J62" s="37" t="inlineStr">
        <is>
          <t>保养费用(元/次)</t>
        </is>
      </c>
      <c r="K62" s="37" t="inlineStr">
        <is>
          <t>润滑油消耗率(kg/h)</t>
        </is>
      </c>
      <c r="L62" s="38" t="inlineStr">
        <is>
          <t>孔径速度修正系数</t>
        </is>
      </c>
    </row>
    <row r="63">
      <c r="A63" s="5" t="inlineStr">
        <is>
          <t>ZG90</t>
        </is>
      </c>
      <c r="B63" s="77" t="n">
        <v>70</v>
      </c>
      <c r="C63" s="77" t="n">
        <v>600</v>
      </c>
      <c r="D63" s="77" t="n">
        <v>600</v>
      </c>
      <c r="E63" s="77" t="n">
        <v>2500</v>
      </c>
      <c r="F63" s="77" t="n">
        <v>3500</v>
      </c>
      <c r="G63" s="77" t="n">
        <v>4000</v>
      </c>
      <c r="H63" s="77" t="n">
        <v>6000</v>
      </c>
      <c r="I63" s="77" t="n">
        <v>300</v>
      </c>
      <c r="J63" s="92" t="n">
        <v>400</v>
      </c>
      <c r="K63" s="45" t="n">
        <v>0.25</v>
      </c>
      <c r="L63" s="66" t="n">
        <v>1.15</v>
      </c>
    </row>
    <row r="64">
      <c r="A64" s="5" t="inlineStr">
        <is>
          <t>ZG90</t>
        </is>
      </c>
      <c r="B64" s="77" t="n">
        <v>90</v>
      </c>
      <c r="C64" s="77" t="n">
        <v>800</v>
      </c>
      <c r="D64" s="77" t="n">
        <v>500</v>
      </c>
      <c r="E64" s="77" t="n">
        <v>3000</v>
      </c>
      <c r="F64" s="77" t="n">
        <v>3000</v>
      </c>
      <c r="G64" s="77" t="n">
        <v>5000</v>
      </c>
      <c r="H64" s="77" t="n">
        <v>5000</v>
      </c>
      <c r="I64" s="77" t="n">
        <v>300</v>
      </c>
      <c r="J64" s="92" t="n">
        <v>500</v>
      </c>
      <c r="K64" s="45" t="n">
        <v>0.3</v>
      </c>
      <c r="L64" s="66" t="n">
        <v>1</v>
      </c>
    </row>
    <row r="65">
      <c r="A65" s="5" t="inlineStr">
        <is>
          <t>ZG90</t>
        </is>
      </c>
      <c r="B65" s="77" t="n">
        <v>115</v>
      </c>
      <c r="C65" s="77" t="n">
        <v>1000</v>
      </c>
      <c r="D65" s="77" t="n">
        <v>400</v>
      </c>
      <c r="E65" s="77" t="n">
        <v>3500</v>
      </c>
      <c r="F65" s="77" t="n">
        <v>2500</v>
      </c>
      <c r="G65" s="77" t="n">
        <v>6000</v>
      </c>
      <c r="H65" s="77" t="n">
        <v>4500</v>
      </c>
      <c r="I65" s="77" t="n">
        <v>300</v>
      </c>
      <c r="J65" s="92" t="n">
        <v>600</v>
      </c>
      <c r="K65" s="45" t="n">
        <v>0.35</v>
      </c>
      <c r="L65" s="66" t="n">
        <v>0.85</v>
      </c>
    </row>
    <row r="66">
      <c r="A66" s="5" t="inlineStr">
        <is>
          <t>ZG120</t>
        </is>
      </c>
      <c r="B66" s="77" t="n">
        <v>70</v>
      </c>
      <c r="C66" s="77" t="n">
        <v>650</v>
      </c>
      <c r="D66" s="77" t="n">
        <v>550</v>
      </c>
      <c r="E66" s="77" t="n">
        <v>2700</v>
      </c>
      <c r="F66" s="77" t="n">
        <v>3300</v>
      </c>
      <c r="G66" s="77" t="n">
        <v>4300</v>
      </c>
      <c r="H66" s="77" t="n">
        <v>5800</v>
      </c>
      <c r="I66" s="77" t="n">
        <v>300</v>
      </c>
      <c r="J66" s="92" t="n">
        <v>430</v>
      </c>
      <c r="K66" s="45" t="n">
        <v>0.27</v>
      </c>
      <c r="L66" s="66" t="n">
        <v>1.15</v>
      </c>
    </row>
    <row r="67">
      <c r="A67" s="5" t="inlineStr">
        <is>
          <t>ZG120</t>
        </is>
      </c>
      <c r="B67" s="77" t="n">
        <v>90</v>
      </c>
      <c r="C67" s="77" t="n">
        <v>850</v>
      </c>
      <c r="D67" s="77" t="n">
        <v>480</v>
      </c>
      <c r="E67" s="77" t="n">
        <v>3200</v>
      </c>
      <c r="F67" s="77" t="n">
        <v>2900</v>
      </c>
      <c r="G67" s="77" t="n">
        <v>5300</v>
      </c>
      <c r="H67" s="77" t="n">
        <v>4900</v>
      </c>
      <c r="I67" s="77" t="n">
        <v>300</v>
      </c>
      <c r="J67" s="92" t="n">
        <v>530</v>
      </c>
      <c r="K67" s="45" t="n">
        <v>0.32</v>
      </c>
      <c r="L67" s="66" t="n">
        <v>1</v>
      </c>
    </row>
    <row r="68">
      <c r="A68" s="5" t="inlineStr">
        <is>
          <t>ZG120</t>
        </is>
      </c>
      <c r="B68" s="77" t="n">
        <v>115</v>
      </c>
      <c r="C68" s="77" t="n">
        <v>1050</v>
      </c>
      <c r="D68" s="77" t="n">
        <v>380</v>
      </c>
      <c r="E68" s="77" t="n">
        <v>3700</v>
      </c>
      <c r="F68" s="77" t="n">
        <v>2400</v>
      </c>
      <c r="G68" s="77" t="n">
        <v>6300</v>
      </c>
      <c r="H68" s="77" t="n">
        <v>4400</v>
      </c>
      <c r="I68" s="77" t="n">
        <v>300</v>
      </c>
      <c r="J68" s="92" t="n">
        <v>630</v>
      </c>
      <c r="K68" s="45" t="n">
        <v>0.37</v>
      </c>
      <c r="L68" s="66" t="n">
        <v>0.85</v>
      </c>
    </row>
    <row r="69">
      <c r="A69" s="5" t="inlineStr">
        <is>
          <t>ACD7</t>
        </is>
      </c>
      <c r="B69" s="77" t="n">
        <v>70</v>
      </c>
      <c r="C69" s="77" t="n">
        <v>700</v>
      </c>
      <c r="D69" s="77" t="n">
        <v>650</v>
      </c>
      <c r="E69" s="77" t="n">
        <v>2800</v>
      </c>
      <c r="F69" s="77" t="n">
        <v>3700</v>
      </c>
      <c r="G69" s="77" t="n">
        <v>4500</v>
      </c>
      <c r="H69" s="77" t="n">
        <v>6200</v>
      </c>
      <c r="I69" s="77" t="n">
        <v>300</v>
      </c>
      <c r="J69" s="92" t="n">
        <v>450</v>
      </c>
      <c r="K69" s="45" t="n">
        <v>0.26</v>
      </c>
      <c r="L69" s="66" t="n">
        <v>1.15</v>
      </c>
    </row>
    <row r="70">
      <c r="A70" s="5" t="inlineStr">
        <is>
          <t>ACD7</t>
        </is>
      </c>
      <c r="B70" s="77" t="n">
        <v>90</v>
      </c>
      <c r="C70" s="77" t="n">
        <v>900</v>
      </c>
      <c r="D70" s="77" t="n">
        <v>550</v>
      </c>
      <c r="E70" s="77" t="n">
        <v>3300</v>
      </c>
      <c r="F70" s="77" t="n">
        <v>3200</v>
      </c>
      <c r="G70" s="77" t="n">
        <v>5500</v>
      </c>
      <c r="H70" s="77" t="n">
        <v>5200</v>
      </c>
      <c r="I70" s="77" t="n">
        <v>300</v>
      </c>
      <c r="J70" s="92" t="n">
        <v>550</v>
      </c>
      <c r="K70" s="45" t="n">
        <v>0.31</v>
      </c>
      <c r="L70" s="66" t="n">
        <v>1</v>
      </c>
    </row>
    <row r="71">
      <c r="A71" s="5" t="inlineStr">
        <is>
          <t>ACD7</t>
        </is>
      </c>
      <c r="B71" s="77" t="n">
        <v>115</v>
      </c>
      <c r="C71" s="77" t="n">
        <v>1100</v>
      </c>
      <c r="D71" s="77" t="n">
        <v>450</v>
      </c>
      <c r="E71" s="77" t="n">
        <v>3800</v>
      </c>
      <c r="F71" s="77" t="n">
        <v>2700</v>
      </c>
      <c r="G71" s="77" t="n">
        <v>6500</v>
      </c>
      <c r="H71" s="77" t="n">
        <v>4700</v>
      </c>
      <c r="I71" s="77" t="n">
        <v>300</v>
      </c>
      <c r="J71" s="92" t="n">
        <v>650</v>
      </c>
      <c r="K71" s="45" t="n">
        <v>0.36</v>
      </c>
      <c r="L71" s="66" t="n">
        <v>0.85</v>
      </c>
    </row>
    <row r="72">
      <c r="A72" s="5" t="inlineStr">
        <is>
          <t>ACD9</t>
        </is>
      </c>
      <c r="B72" s="77" t="n">
        <v>70</v>
      </c>
      <c r="C72" s="77" t="n">
        <v>720</v>
      </c>
      <c r="D72" s="77" t="n">
        <v>640</v>
      </c>
      <c r="E72" s="77" t="n">
        <v>2850</v>
      </c>
      <c r="F72" s="77" t="n">
        <v>3650</v>
      </c>
      <c r="G72" s="77" t="n">
        <v>4600</v>
      </c>
      <c r="H72" s="77" t="n">
        <v>6100</v>
      </c>
      <c r="I72" s="77" t="n">
        <v>300</v>
      </c>
      <c r="J72" s="92" t="n">
        <v>460</v>
      </c>
      <c r="K72" s="45" t="n">
        <v>0.26</v>
      </c>
      <c r="L72" s="66" t="n">
        <v>1.15</v>
      </c>
    </row>
    <row r="73">
      <c r="A73" s="5" t="inlineStr">
        <is>
          <t>ACD9</t>
        </is>
      </c>
      <c r="B73" s="77" t="n">
        <v>90</v>
      </c>
      <c r="C73" s="77" t="n">
        <v>920</v>
      </c>
      <c r="D73" s="77" t="n">
        <v>540</v>
      </c>
      <c r="E73" s="77" t="n">
        <v>3350</v>
      </c>
      <c r="F73" s="77" t="n">
        <v>3150</v>
      </c>
      <c r="G73" s="77" t="n">
        <v>5600</v>
      </c>
      <c r="H73" s="77" t="n">
        <v>5100</v>
      </c>
      <c r="I73" s="77" t="n">
        <v>300</v>
      </c>
      <c r="J73" s="92" t="n">
        <v>560</v>
      </c>
      <c r="K73" s="45" t="n">
        <v>0.31</v>
      </c>
      <c r="L73" s="66" t="n">
        <v>1</v>
      </c>
    </row>
    <row r="74">
      <c r="A74" s="5" t="inlineStr">
        <is>
          <t>ACD9</t>
        </is>
      </c>
      <c r="B74" s="77" t="n">
        <v>115</v>
      </c>
      <c r="C74" s="77" t="n">
        <v>1120</v>
      </c>
      <c r="D74" s="77" t="n">
        <v>440</v>
      </c>
      <c r="E74" s="77" t="n">
        <v>3850</v>
      </c>
      <c r="F74" s="77" t="n">
        <v>2650</v>
      </c>
      <c r="G74" s="77" t="n">
        <v>6600</v>
      </c>
      <c r="H74" s="77" t="n">
        <v>4600</v>
      </c>
      <c r="I74" s="77" t="n">
        <v>300</v>
      </c>
      <c r="J74" s="92" t="n">
        <v>660</v>
      </c>
      <c r="K74" s="45" t="n">
        <v>0.36</v>
      </c>
      <c r="L74" s="66" t="n">
        <v>0.85</v>
      </c>
    </row>
    <row r="75">
      <c r="A75" s="5" t="inlineStr">
        <is>
          <t>AC90</t>
        </is>
      </c>
      <c r="B75" s="77" t="n">
        <v>70</v>
      </c>
      <c r="C75" s="77" t="n">
        <v>700</v>
      </c>
      <c r="D75" s="77" t="n">
        <v>650</v>
      </c>
      <c r="E75" s="77" t="n">
        <v>2800</v>
      </c>
      <c r="F75" s="77" t="n">
        <v>3700</v>
      </c>
      <c r="G75" s="77" t="n">
        <v>4500</v>
      </c>
      <c r="H75" s="77" t="n">
        <v>6200</v>
      </c>
      <c r="I75" s="77" t="n">
        <v>300</v>
      </c>
      <c r="J75" s="92" t="n">
        <v>450</v>
      </c>
      <c r="K75" s="45" t="n">
        <v>0.26</v>
      </c>
      <c r="L75" s="66" t="n">
        <v>1.15</v>
      </c>
    </row>
    <row r="76">
      <c r="A76" s="5" t="inlineStr">
        <is>
          <t>AC90</t>
        </is>
      </c>
      <c r="B76" s="77" t="n">
        <v>90</v>
      </c>
      <c r="C76" s="77" t="n">
        <v>900</v>
      </c>
      <c r="D76" s="77" t="n">
        <v>550</v>
      </c>
      <c r="E76" s="77" t="n">
        <v>3300</v>
      </c>
      <c r="F76" s="77" t="n">
        <v>3200</v>
      </c>
      <c r="G76" s="77" t="n">
        <v>5500</v>
      </c>
      <c r="H76" s="77" t="n">
        <v>5200</v>
      </c>
      <c r="I76" s="77" t="n">
        <v>300</v>
      </c>
      <c r="J76" s="92" t="n">
        <v>550</v>
      </c>
      <c r="K76" s="45" t="n">
        <v>0.31</v>
      </c>
      <c r="L76" s="66" t="n">
        <v>1</v>
      </c>
    </row>
    <row r="77">
      <c r="A77" s="5" t="inlineStr">
        <is>
          <t>AC90</t>
        </is>
      </c>
      <c r="B77" s="77" t="n">
        <v>115</v>
      </c>
      <c r="C77" s="77" t="n">
        <v>1100</v>
      </c>
      <c r="D77" s="77" t="n">
        <v>450</v>
      </c>
      <c r="E77" s="77" t="n">
        <v>3800</v>
      </c>
      <c r="F77" s="77" t="n">
        <v>2700</v>
      </c>
      <c r="G77" s="77" t="n">
        <v>6500</v>
      </c>
      <c r="H77" s="77" t="n">
        <v>4700</v>
      </c>
      <c r="I77" s="77" t="n">
        <v>300</v>
      </c>
      <c r="J77" s="92" t="n">
        <v>650</v>
      </c>
      <c r="K77" s="45" t="n">
        <v>0.36</v>
      </c>
      <c r="L77" s="66" t="n">
        <v>0.85</v>
      </c>
    </row>
    <row r="78">
      <c r="A78" s="5" t="inlineStr">
        <is>
          <t>AC120</t>
        </is>
      </c>
      <c r="B78" s="77" t="n">
        <v>70</v>
      </c>
      <c r="C78" s="77" t="n">
        <v>750</v>
      </c>
      <c r="D78" s="77" t="n">
        <v>620</v>
      </c>
      <c r="E78" s="77" t="n">
        <v>2900</v>
      </c>
      <c r="F78" s="77" t="n">
        <v>3550</v>
      </c>
      <c r="G78" s="77" t="n">
        <v>4700</v>
      </c>
      <c r="H78" s="77" t="n">
        <v>5900</v>
      </c>
      <c r="I78" s="77" t="n">
        <v>300</v>
      </c>
      <c r="J78" s="92" t="n">
        <v>470</v>
      </c>
      <c r="K78" s="45" t="n">
        <v>0.28</v>
      </c>
      <c r="L78" s="66" t="n">
        <v>1.15</v>
      </c>
    </row>
    <row r="79">
      <c r="A79" s="5" t="inlineStr">
        <is>
          <t>AC120</t>
        </is>
      </c>
      <c r="B79" s="77" t="n">
        <v>90</v>
      </c>
      <c r="C79" s="77" t="n">
        <v>950</v>
      </c>
      <c r="D79" s="77" t="n">
        <v>520</v>
      </c>
      <c r="E79" s="77" t="n">
        <v>3400</v>
      </c>
      <c r="F79" s="77" t="n">
        <v>3050</v>
      </c>
      <c r="G79" s="77" t="n">
        <v>5700</v>
      </c>
      <c r="H79" s="77" t="n">
        <v>4950</v>
      </c>
      <c r="I79" s="77" t="n">
        <v>300</v>
      </c>
      <c r="J79" s="92" t="n">
        <v>570</v>
      </c>
      <c r="K79" s="45" t="n">
        <v>0.33</v>
      </c>
      <c r="L79" s="66" t="n">
        <v>1</v>
      </c>
    </row>
    <row r="80">
      <c r="A80" s="5" t="inlineStr">
        <is>
          <t>AC120</t>
        </is>
      </c>
      <c r="B80" s="77" t="n">
        <v>115</v>
      </c>
      <c r="C80" s="77" t="n">
        <v>1150</v>
      </c>
      <c r="D80" s="77" t="n">
        <v>420</v>
      </c>
      <c r="E80" s="77" t="n">
        <v>3900</v>
      </c>
      <c r="F80" s="77" t="n">
        <v>2550</v>
      </c>
      <c r="G80" s="77" t="n">
        <v>6700</v>
      </c>
      <c r="H80" s="77" t="n">
        <v>4450</v>
      </c>
      <c r="I80" s="77" t="n">
        <v>300</v>
      </c>
      <c r="J80" s="92" t="n">
        <v>670</v>
      </c>
      <c r="K80" s="45" t="n">
        <v>0.38</v>
      </c>
      <c r="L80" s="66" t="n">
        <v>0.85</v>
      </c>
    </row>
    <row r="81">
      <c r="A81" s="5" t="inlineStr">
        <is>
          <t>KY200</t>
        </is>
      </c>
      <c r="B81" s="77" t="n">
        <v>150</v>
      </c>
      <c r="C81" s="77" t="n">
        <v>2500</v>
      </c>
      <c r="D81" s="77" t="n">
        <v>1200</v>
      </c>
      <c r="E81" s="77" t="n">
        <v>8500</v>
      </c>
      <c r="F81" s="77" t="n">
        <v>6000</v>
      </c>
      <c r="G81" s="77" t="n">
        <v>12000</v>
      </c>
      <c r="H81" s="77" t="n">
        <v>8000</v>
      </c>
      <c r="I81" s="77" t="n">
        <v>500</v>
      </c>
      <c r="J81" s="92" t="n">
        <v>1500</v>
      </c>
      <c r="K81" s="45" t="n">
        <v>0.5</v>
      </c>
      <c r="L81" s="66" t="n">
        <v>0.6</v>
      </c>
    </row>
    <row r="82">
      <c r="A82" s="5" t="inlineStr">
        <is>
          <t>KY200</t>
        </is>
      </c>
      <c r="B82" s="77" t="n">
        <v>200</v>
      </c>
      <c r="C82" s="77" t="n">
        <v>3500</v>
      </c>
      <c r="D82" s="77" t="n">
        <v>1500</v>
      </c>
      <c r="E82" s="77" t="n">
        <v>11000</v>
      </c>
      <c r="F82" s="77" t="n">
        <v>7500</v>
      </c>
      <c r="G82" s="77" t="n">
        <v>15000</v>
      </c>
      <c r="H82" s="77" t="n">
        <v>10000</v>
      </c>
      <c r="I82" s="77" t="n">
        <v>500</v>
      </c>
      <c r="J82" s="92" t="n">
        <v>2000</v>
      </c>
      <c r="K82" s="45" t="n">
        <v>0.6</v>
      </c>
      <c r="L82" s="66" t="n">
        <v>0.5</v>
      </c>
    </row>
    <row r="83">
      <c r="A83" s="5" t="inlineStr">
        <is>
          <t>KY250</t>
        </is>
      </c>
      <c r="B83" s="77" t="n">
        <v>200</v>
      </c>
      <c r="C83" s="77" t="n">
        <v>4000</v>
      </c>
      <c r="D83" s="77" t="n">
        <v>1600</v>
      </c>
      <c r="E83" s="77" t="n">
        <v>12000</v>
      </c>
      <c r="F83" s="77" t="n">
        <v>8000</v>
      </c>
      <c r="G83" s="77" t="n">
        <v>16000</v>
      </c>
      <c r="H83" s="77" t="n">
        <v>11000</v>
      </c>
      <c r="I83" s="77" t="n">
        <v>500</v>
      </c>
      <c r="J83" s="92" t="n">
        <v>2200</v>
      </c>
      <c r="K83" s="45" t="n">
        <v>0.65</v>
      </c>
      <c r="L83" s="66" t="n">
        <v>0.5</v>
      </c>
    </row>
    <row r="84" ht="14.85" customHeight="1">
      <c r="A84" s="11" t="inlineStr">
        <is>
          <t>KY250</t>
        </is>
      </c>
      <c r="B84" s="83" t="n">
        <v>250</v>
      </c>
      <c r="C84" s="83" t="n">
        <v>5000</v>
      </c>
      <c r="D84" s="83" t="n">
        <v>2000</v>
      </c>
      <c r="E84" s="83" t="n">
        <v>15000</v>
      </c>
      <c r="F84" s="83" t="n">
        <v>10000</v>
      </c>
      <c r="G84" s="83" t="n">
        <v>20000</v>
      </c>
      <c r="H84" s="83" t="n">
        <v>14000</v>
      </c>
      <c r="I84" s="83" t="n">
        <v>500</v>
      </c>
      <c r="J84" s="112" t="n">
        <v>2800</v>
      </c>
      <c r="K84" s="57" t="n">
        <v>0.75</v>
      </c>
      <c r="L84" s="75" t="n">
        <v>0.4</v>
      </c>
    </row>
    <row r="86" ht="14.85" customHeight="1"/>
    <row r="87" ht="15" customHeight="1">
      <c r="A87" s="76" t="inlineStr">
        <is>
          <t>【深孔台阶爆破设计默认值】</t>
        </is>
      </c>
      <c r="B87" s="217" t="n"/>
      <c r="C87" s="218" t="n"/>
      <c r="D87" s="76" t="inlineStr">
        <is>
          <t>【装药系数映射表】</t>
        </is>
      </c>
      <c r="E87" s="217" t="n"/>
      <c r="F87" s="218" t="n"/>
      <c r="G87" s="60" t="inlineStr">
        <is>
          <t>【孔径-W1映射表】</t>
        </is>
      </c>
      <c r="H87" s="217" t="n"/>
      <c r="I87" s="221" t="n"/>
      <c r="J87" s="113" t="inlineStr">
        <is>
          <t>【布孔形式映射表】</t>
        </is>
      </c>
      <c r="K87" s="222" t="n"/>
      <c r="L87" s="225" t="n"/>
    </row>
    <row r="88">
      <c r="A88" s="36" t="inlineStr">
        <is>
          <t>参数名称</t>
        </is>
      </c>
      <c r="B88" s="37" t="inlineStr">
        <is>
          <t>数值</t>
        </is>
      </c>
      <c r="C88" s="38" t="inlineStr">
        <is>
          <t>单位</t>
        </is>
      </c>
      <c r="D88" s="39" t="inlineStr">
        <is>
          <t>孔径(mm)</t>
        </is>
      </c>
      <c r="E88" s="40" t="inlineStr">
        <is>
          <t>装药系数</t>
        </is>
      </c>
      <c r="F88" s="41" t="inlineStr">
        <is>
          <t>集中装药比例</t>
        </is>
      </c>
      <c r="G88" s="39" t="inlineStr">
        <is>
          <t>孔径(mm)</t>
        </is>
      </c>
      <c r="H88" s="40" t="inlineStr">
        <is>
          <t>W1基准值(m)</t>
        </is>
      </c>
      <c r="I88" s="115" t="n"/>
      <c r="J88" s="39" t="inlineStr">
        <is>
          <t>布孔形式</t>
        </is>
      </c>
      <c r="K88" s="40" t="inlineStr">
        <is>
          <t>m值</t>
        </is>
      </c>
      <c r="L88" s="115" t="n"/>
    </row>
    <row r="89">
      <c r="A89" s="5" t="inlineStr">
        <is>
          <t>台阶高度H</t>
        </is>
      </c>
      <c r="B89" s="45" t="n">
        <v>10</v>
      </c>
      <c r="C89" s="7" t="inlineStr">
        <is>
          <t>m</t>
        </is>
      </c>
      <c r="D89" s="94" t="n">
        <v>70</v>
      </c>
      <c r="E89" s="45" t="n">
        <v>0.65</v>
      </c>
      <c r="F89" s="66" t="n">
        <v>0.6</v>
      </c>
      <c r="G89" s="94" t="n">
        <v>70</v>
      </c>
      <c r="H89" s="77" t="n">
        <v>2.1</v>
      </c>
      <c r="I89" s="7" t="n"/>
      <c r="J89" s="94" t="inlineStr">
        <is>
          <t>矩形</t>
        </is>
      </c>
      <c r="K89" s="45" t="n">
        <v>1</v>
      </c>
      <c r="L89" s="7" t="n"/>
    </row>
    <row r="90">
      <c r="A90" s="5" t="inlineStr">
        <is>
          <t>台阶坡面角α</t>
        </is>
      </c>
      <c r="B90" s="45" t="n">
        <v>75</v>
      </c>
      <c r="C90" s="7" t="inlineStr">
        <is>
          <t>°</t>
        </is>
      </c>
      <c r="D90" s="94" t="n">
        <v>90</v>
      </c>
      <c r="E90" s="45" t="n">
        <v>0.7</v>
      </c>
      <c r="F90" s="66" t="n">
        <v>0.5</v>
      </c>
      <c r="G90" s="94" t="n">
        <v>90</v>
      </c>
      <c r="H90" s="77" t="n">
        <v>2.7</v>
      </c>
      <c r="I90" s="7" t="n"/>
      <c r="J90" s="94" t="inlineStr">
        <is>
          <t>梅花形</t>
        </is>
      </c>
      <c r="K90" s="45" t="n">
        <v>1.25</v>
      </c>
      <c r="L90" s="7" t="n"/>
    </row>
    <row r="91" ht="14.85" customHeight="1">
      <c r="A91" s="5" t="inlineStr">
        <is>
          <t>钻孔倾角</t>
        </is>
      </c>
      <c r="B91" s="45" t="n">
        <v>90</v>
      </c>
      <c r="C91" s="7" t="inlineStr">
        <is>
          <t>°</t>
        </is>
      </c>
      <c r="D91" s="94" t="n">
        <v>115</v>
      </c>
      <c r="E91" s="45" t="n">
        <v>0.78</v>
      </c>
      <c r="F91" s="66" t="n">
        <v>0.4</v>
      </c>
      <c r="G91" s="94" t="n">
        <v>115</v>
      </c>
      <c r="H91" s="77" t="n">
        <v>3.4</v>
      </c>
      <c r="I91" s="7" t="n"/>
      <c r="J91" s="98" t="inlineStr">
        <is>
          <t>宽孔距</t>
        </is>
      </c>
      <c r="K91" s="57" t="n">
        <v>1.5</v>
      </c>
      <c r="L91" s="13" t="n"/>
    </row>
    <row r="92">
      <c r="A92" s="5" t="inlineStr">
        <is>
          <t>后排阻力系数K</t>
        </is>
      </c>
      <c r="B92" s="45" t="n">
        <v>1.1</v>
      </c>
      <c r="C92" s="7" t="inlineStr">
        <is>
          <t>—</t>
        </is>
      </c>
      <c r="D92" s="94" t="n">
        <v>150</v>
      </c>
      <c r="E92" s="45" t="n">
        <v>0.82</v>
      </c>
      <c r="F92" s="66" t="n">
        <v>0.35</v>
      </c>
      <c r="G92" s="94" t="n">
        <v>150</v>
      </c>
      <c r="H92" s="77" t="n">
        <v>4.5</v>
      </c>
      <c r="I92" s="7" t="n"/>
    </row>
    <row r="93">
      <c r="A93" s="5" t="inlineStr">
        <is>
          <t>装药系数</t>
        </is>
      </c>
      <c r="B93" s="45" t="n">
        <v>0.7</v>
      </c>
      <c r="C93" s="7" t="inlineStr">
        <is>
          <t>—</t>
        </is>
      </c>
      <c r="D93" s="94" t="n">
        <v>200</v>
      </c>
      <c r="E93" s="45" t="n">
        <v>0.85</v>
      </c>
      <c r="F93" s="66" t="n">
        <v>0.3</v>
      </c>
      <c r="G93" s="94" t="n">
        <v>200</v>
      </c>
      <c r="H93" s="77" t="n">
        <v>6</v>
      </c>
      <c r="I93" s="7" t="n"/>
    </row>
    <row r="94" ht="14.85" customHeight="1">
      <c r="A94" s="11" t="inlineStr">
        <is>
          <t>乳化炸药密度</t>
        </is>
      </c>
      <c r="B94" s="57" t="n">
        <v>1.15</v>
      </c>
      <c r="C94" s="13" t="inlineStr">
        <is>
          <t>t/m³</t>
        </is>
      </c>
      <c r="D94" s="98" t="n">
        <v>250</v>
      </c>
      <c r="E94" s="57" t="n">
        <v>0.88</v>
      </c>
      <c r="F94" s="75" t="n">
        <v>0.25</v>
      </c>
      <c r="G94" s="98" t="n">
        <v>250</v>
      </c>
      <c r="H94" s="83" t="n">
        <v>7.5</v>
      </c>
      <c r="I94" s="13" t="n"/>
    </row>
    <row r="95" ht="14.85" customHeight="1"/>
    <row r="96" ht="15" customHeight="1">
      <c r="A96" s="76" t="inlineStr">
        <is>
          <t>【爆破辅助装载机参数】</t>
        </is>
      </c>
      <c r="B96" s="217" t="n"/>
      <c r="C96" s="217" t="n"/>
      <c r="D96" s="218" t="n"/>
      <c r="E96" s="60" t="inlineStr">
        <is>
          <t>【钻孔辅助时间参数】</t>
        </is>
      </c>
      <c r="F96" s="217" t="n"/>
      <c r="G96" s="217" t="n"/>
      <c r="H96" s="221" t="n"/>
    </row>
    <row r="97">
      <c r="A97" s="39" t="inlineStr">
        <is>
          <t>参数名称</t>
        </is>
      </c>
      <c r="B97" s="40" t="inlineStr">
        <is>
          <t>数值</t>
        </is>
      </c>
      <c r="C97" s="40" t="inlineStr">
        <is>
          <t>单位</t>
        </is>
      </c>
      <c r="D97" s="115" t="n"/>
      <c r="E97" s="36" t="inlineStr">
        <is>
          <t>参数名称</t>
        </is>
      </c>
      <c r="F97" s="37" t="inlineStr">
        <is>
          <t>自动换杆</t>
        </is>
      </c>
      <c r="G97" s="37" t="inlineStr">
        <is>
          <t>人工换杆</t>
        </is>
      </c>
      <c r="H97" s="38" t="inlineStr">
        <is>
          <t>单位</t>
        </is>
      </c>
    </row>
    <row r="98">
      <c r="A98" s="5" t="inlineStr">
        <is>
          <t>装载机型号</t>
        </is>
      </c>
      <c r="B98" s="116" t="inlineStr">
        <is>
          <t>ZL50</t>
        </is>
      </c>
      <c r="C98" s="14" t="inlineStr">
        <is>
          <t>—</t>
        </is>
      </c>
      <c r="D98" s="7" t="n"/>
      <c r="E98" s="5" t="inlineStr">
        <is>
          <t>接杆时间</t>
        </is>
      </c>
      <c r="F98" s="45" t="n">
        <v>1.5</v>
      </c>
      <c r="G98" s="45" t="n">
        <v>4</v>
      </c>
      <c r="H98" s="7" t="inlineStr">
        <is>
          <t>分钟/根</t>
        </is>
      </c>
    </row>
    <row r="99">
      <c r="A99" s="5" t="inlineStr">
        <is>
          <t>功率</t>
        </is>
      </c>
      <c r="B99" s="116" t="n">
        <v>162</v>
      </c>
      <c r="C99" s="14" t="inlineStr">
        <is>
          <t>kW</t>
        </is>
      </c>
      <c r="D99" s="7" t="n"/>
      <c r="E99" s="5" t="inlineStr">
        <is>
          <t>卸杆时间</t>
        </is>
      </c>
      <c r="F99" s="45" t="n">
        <v>1.5</v>
      </c>
      <c r="G99" s="45" t="n">
        <v>3.5</v>
      </c>
      <c r="H99" s="7" t="inlineStr">
        <is>
          <t>分钟/根</t>
        </is>
      </c>
    </row>
    <row r="100">
      <c r="A100" s="5" t="inlineStr">
        <is>
          <t>小时油耗</t>
        </is>
      </c>
      <c r="B100" s="116" t="n">
        <v>12</v>
      </c>
      <c r="C100" s="14" t="inlineStr">
        <is>
          <t>L/h</t>
        </is>
      </c>
      <c r="D100" s="7" t="n"/>
      <c r="E100" s="5" t="inlineStr">
        <is>
          <t>移位时间</t>
        </is>
      </c>
      <c r="F100" s="45" t="n">
        <v>2</v>
      </c>
      <c r="G100" s="45" t="n">
        <v>2</v>
      </c>
      <c r="H100" s="7" t="inlineStr">
        <is>
          <t>分钟/孔</t>
        </is>
      </c>
    </row>
    <row r="101">
      <c r="A101" s="5" t="inlineStr">
        <is>
          <t>原值</t>
        </is>
      </c>
      <c r="B101" s="116" t="n">
        <v>35</v>
      </c>
      <c r="C101" s="14" t="inlineStr">
        <is>
          <t>万元</t>
        </is>
      </c>
      <c r="D101" s="7" t="n"/>
      <c r="E101" s="5" t="inlineStr">
        <is>
          <t>清孔时间</t>
        </is>
      </c>
      <c r="F101" s="45" t="n">
        <v>2</v>
      </c>
      <c r="G101" s="45" t="n">
        <v>2</v>
      </c>
      <c r="H101" s="7" t="inlineStr">
        <is>
          <t>分钟/孔</t>
        </is>
      </c>
    </row>
    <row r="102">
      <c r="A102" s="5" t="inlineStr">
        <is>
          <t>耐用总台班</t>
        </is>
      </c>
      <c r="B102" s="116" t="n">
        <v>4000</v>
      </c>
      <c r="C102" s="14" t="inlineStr">
        <is>
          <t>台班</t>
        </is>
      </c>
      <c r="D102" s="7" t="n"/>
      <c r="E102" s="5" t="inlineStr">
        <is>
          <t>钻杆长度</t>
        </is>
      </c>
      <c r="F102" s="45" t="n">
        <v>3</v>
      </c>
      <c r="G102" s="45" t="n">
        <v>3</v>
      </c>
      <c r="H102" s="7" t="inlineStr">
        <is>
          <t>m/根</t>
        </is>
      </c>
    </row>
    <row r="103" ht="14.85" customHeight="1">
      <c r="A103" s="5" t="inlineStr">
        <is>
          <t>残值率</t>
        </is>
      </c>
      <c r="B103" s="116" t="n">
        <v>0.05</v>
      </c>
      <c r="C103" s="14" t="inlineStr">
        <is>
          <t>—</t>
        </is>
      </c>
      <c r="D103" s="7" t="n"/>
      <c r="E103" s="11" t="inlineStr">
        <is>
          <t>时间利用率</t>
        </is>
      </c>
      <c r="F103" s="83" t="n">
        <v>0.85</v>
      </c>
      <c r="G103" s="83" t="n">
        <v>0.85</v>
      </c>
      <c r="H103" s="13" t="inlineStr">
        <is>
          <t>—</t>
        </is>
      </c>
    </row>
    <row r="104">
      <c r="A104" s="5" t="inlineStr">
        <is>
          <t>租赁单价</t>
        </is>
      </c>
      <c r="B104" s="116" t="n">
        <v>1500</v>
      </c>
      <c r="C104" s="14" t="inlineStr">
        <is>
          <t>元/台班</t>
        </is>
      </c>
      <c r="D104" s="7" t="n"/>
    </row>
    <row r="105" ht="14.85" customHeight="1">
      <c r="A105" s="11" t="inlineStr">
        <is>
          <t>台班利用系数</t>
        </is>
      </c>
      <c r="B105" s="117" t="n">
        <v>0.5</v>
      </c>
      <c r="C105" s="56" t="inlineStr">
        <is>
          <t>—</t>
        </is>
      </c>
      <c r="D105" s="13" t="n"/>
    </row>
    <row r="106" ht="14.85" customHeight="1"/>
    <row r="107" ht="15" customHeight="1">
      <c r="A107" s="76" t="inlineStr">
        <is>
          <t>【预裂爆破专用参数】</t>
        </is>
      </c>
      <c r="B107" s="217" t="n"/>
      <c r="C107" s="217" t="n"/>
      <c r="D107" s="218" t="n"/>
      <c r="E107" s="60" t="inlineStr">
        <is>
          <t>【预裂孔距系数表（K值）】</t>
        </is>
      </c>
      <c r="F107" s="217" t="n"/>
      <c r="G107" s="221" t="n"/>
      <c r="H107" s="60" t="inlineStr">
        <is>
          <t>【缓冲孔参数】</t>
        </is>
      </c>
      <c r="I107" s="217" t="n"/>
      <c r="J107" s="221" t="n"/>
    </row>
    <row r="108">
      <c r="A108" s="39" t="inlineStr">
        <is>
          <t>参数名称</t>
        </is>
      </c>
      <c r="B108" s="40" t="inlineStr">
        <is>
          <t>数值</t>
        </is>
      </c>
      <c r="C108" s="40" t="inlineStr">
        <is>
          <t>单位</t>
        </is>
      </c>
      <c r="D108" s="115" t="n"/>
      <c r="E108" s="39" t="inlineStr">
        <is>
          <t>f值下限</t>
        </is>
      </c>
      <c r="F108" s="40" t="inlineStr">
        <is>
          <t>f值上限</t>
        </is>
      </c>
      <c r="G108" s="41" t="inlineStr">
        <is>
          <t>孔距系数K</t>
        </is>
      </c>
      <c r="H108" s="39" t="inlineStr">
        <is>
          <t>参数名称</t>
        </is>
      </c>
      <c r="I108" s="40" t="inlineStr">
        <is>
          <t>数值</t>
        </is>
      </c>
      <c r="J108" s="41" t="inlineStr">
        <is>
          <t>单位</t>
        </is>
      </c>
    </row>
    <row r="109" ht="24.85" customHeight="1">
      <c r="A109" s="5" t="inlineStr">
        <is>
          <t>预裂孔距系数</t>
        </is>
      </c>
      <c r="B109" s="45" t="n">
        <v>10</v>
      </c>
      <c r="C109" s="14" t="inlineStr">
        <is>
          <t>倍孔径</t>
        </is>
      </c>
      <c r="D109" s="7" t="n"/>
      <c r="E109" s="5" t="n">
        <v>0</v>
      </c>
      <c r="F109" s="14" t="n">
        <v>4</v>
      </c>
      <c r="G109" s="118" t="n">
        <v>12</v>
      </c>
      <c r="H109" s="5" t="inlineStr">
        <is>
          <t>装药系数（相对主爆孔）</t>
        </is>
      </c>
      <c r="I109" s="14" t="n">
        <v>0.6</v>
      </c>
      <c r="J109" s="7" t="inlineStr">
        <is>
          <t>—</t>
        </is>
      </c>
    </row>
    <row r="110" ht="24.85" customHeight="1">
      <c r="A110" s="5" t="inlineStr">
        <is>
          <t>预裂线装药密度</t>
        </is>
      </c>
      <c r="B110" s="45" t="n">
        <v>0.4</v>
      </c>
      <c r="C110" s="14" t="inlineStr">
        <is>
          <t>kg/m</t>
        </is>
      </c>
      <c r="D110" s="7" t="n"/>
      <c r="E110" s="5" t="n">
        <v>4</v>
      </c>
      <c r="F110" s="14" t="n">
        <v>6</v>
      </c>
      <c r="G110" s="118" t="n">
        <v>11</v>
      </c>
      <c r="H110" s="5" t="inlineStr">
        <is>
          <t>孔距系数（相对主爆孔）</t>
        </is>
      </c>
      <c r="I110" s="14" t="n">
        <v>0.7</v>
      </c>
      <c r="J110" s="7" t="inlineStr">
        <is>
          <t>—</t>
        </is>
      </c>
    </row>
    <row r="111" ht="25.6" customHeight="1">
      <c r="A111" s="5" t="inlineStr">
        <is>
          <t>不耦合系数</t>
        </is>
      </c>
      <c r="B111" s="45" t="n">
        <v>2.5</v>
      </c>
      <c r="C111" s="14" t="inlineStr">
        <is>
          <t>—</t>
        </is>
      </c>
      <c r="D111" s="7" t="n"/>
      <c r="E111" s="5" t="n">
        <v>6</v>
      </c>
      <c r="F111" s="14" t="n">
        <v>8</v>
      </c>
      <c r="G111" s="118" t="n">
        <v>10</v>
      </c>
      <c r="H111" s="11" t="inlineStr">
        <is>
          <t>排距系数（相对主爆孔）</t>
        </is>
      </c>
      <c r="I111" s="56" t="n">
        <v>0.8</v>
      </c>
      <c r="J111" s="13" t="inlineStr">
        <is>
          <t>—</t>
        </is>
      </c>
    </row>
    <row r="112">
      <c r="A112" s="5" t="inlineStr">
        <is>
          <t>预裂孔超深</t>
        </is>
      </c>
      <c r="B112" s="45" t="n">
        <v>1</v>
      </c>
      <c r="C112" s="14" t="inlineStr">
        <is>
          <t>m</t>
        </is>
      </c>
      <c r="D112" s="7" t="n"/>
      <c r="E112" s="5" t="n">
        <v>8</v>
      </c>
      <c r="F112" s="14" t="n">
        <v>12</v>
      </c>
      <c r="G112" s="118" t="n">
        <v>9</v>
      </c>
    </row>
    <row r="113" ht="14.85" customHeight="1">
      <c r="A113" s="5" t="inlineStr">
        <is>
          <t>底部加强倍数</t>
        </is>
      </c>
      <c r="B113" s="45" t="n">
        <v>4</v>
      </c>
      <c r="C113" s="14" t="inlineStr">
        <is>
          <t>—</t>
        </is>
      </c>
      <c r="D113" s="7" t="n"/>
      <c r="E113" s="11" t="n">
        <v>12</v>
      </c>
      <c r="F113" s="56" t="n">
        <v>16</v>
      </c>
      <c r="G113" s="119" t="n">
        <v>8</v>
      </c>
    </row>
    <row r="114">
      <c r="A114" s="5" t="inlineStr">
        <is>
          <t>预裂每孔雷管数</t>
        </is>
      </c>
      <c r="B114" s="45" t="n">
        <v>1</v>
      </c>
      <c r="C114" s="14" t="inlineStr">
        <is>
          <t>发</t>
        </is>
      </c>
      <c r="D114" s="7" t="n"/>
    </row>
    <row r="115" ht="14.85" customHeight="1">
      <c r="A115" s="11" t="inlineStr">
        <is>
          <t>缓冲排距系数</t>
        </is>
      </c>
      <c r="B115" s="57" t="n">
        <v>0.6</v>
      </c>
      <c r="C115" s="56" t="inlineStr">
        <is>
          <t>倍主爆排距b</t>
        </is>
      </c>
      <c r="D115" s="13" t="n"/>
    </row>
    <row r="116" ht="14.85" customHeight="1"/>
    <row r="117">
      <c r="A117" s="120" t="inlineStr">
        <is>
          <t>【松土器台班产量参考（实方/台班，基准配2.0m³挖机）】</t>
        </is>
      </c>
      <c r="B117" s="218" t="n"/>
      <c r="C117" s="120" t="inlineStr">
        <is>
          <t>【破碎锤台班产量参考（实方/台班，基准配2.0m³挖机+140mm锤）】</t>
        </is>
      </c>
      <c r="D117" s="218" t="n"/>
    </row>
    <row r="118" ht="24.85" customHeight="1">
      <c r="A118" s="39" t="inlineStr">
        <is>
          <t>岩石f值</t>
        </is>
      </c>
      <c r="B118" s="41" t="inlineStr">
        <is>
          <t>台班产量(实方)</t>
        </is>
      </c>
      <c r="C118" s="39" t="inlineStr">
        <is>
          <t>岩石f值</t>
        </is>
      </c>
      <c r="D118" s="41" t="inlineStr">
        <is>
          <t>台班产量(实方)</t>
        </is>
      </c>
    </row>
    <row r="119">
      <c r="A119" s="5" t="n">
        <v>0.5</v>
      </c>
      <c r="B119" s="79" t="n">
        <v>1800</v>
      </c>
      <c r="C119" s="5" t="n">
        <v>0.5</v>
      </c>
      <c r="D119" s="79" t="n">
        <v>600</v>
      </c>
    </row>
    <row r="120">
      <c r="A120" s="5" t="n">
        <v>1</v>
      </c>
      <c r="B120" s="79" t="n">
        <v>1500</v>
      </c>
      <c r="C120" s="5" t="n">
        <v>2</v>
      </c>
      <c r="D120" s="79" t="n">
        <v>300</v>
      </c>
    </row>
    <row r="121">
      <c r="A121" s="5" t="n">
        <v>3</v>
      </c>
      <c r="B121" s="79" t="n">
        <v>800</v>
      </c>
      <c r="C121" s="5" t="n">
        <v>5</v>
      </c>
      <c r="D121" s="79" t="n">
        <v>180</v>
      </c>
    </row>
    <row r="122">
      <c r="A122" s="5" t="n">
        <v>5</v>
      </c>
      <c r="B122" s="79" t="n">
        <v>400</v>
      </c>
      <c r="C122" s="5" t="n">
        <v>8</v>
      </c>
      <c r="D122" s="79" t="n">
        <v>100</v>
      </c>
    </row>
    <row r="123">
      <c r="A123" s="5" t="n">
        <v>6</v>
      </c>
      <c r="B123" s="79" t="n">
        <v>200</v>
      </c>
      <c r="C123" s="5" t="n">
        <v>12</v>
      </c>
      <c r="D123" s="79" t="n">
        <v>50</v>
      </c>
    </row>
    <row r="124" ht="14.85" customHeight="1">
      <c r="A124" s="11" t="n">
        <v>7</v>
      </c>
      <c r="B124" s="85" t="n">
        <v>50</v>
      </c>
      <c r="C124" s="11" t="n">
        <v>15</v>
      </c>
      <c r="D124" s="85" t="n">
        <v>30</v>
      </c>
    </row>
    <row r="131">
      <c r="K131" s="121" t="n"/>
      <c r="L131" s="121" t="n"/>
      <c r="M131" s="121" t="n"/>
      <c r="N131" s="121" t="n"/>
    </row>
    <row r="132">
      <c r="K132" s="122" t="n"/>
      <c r="L132" s="122" t="n"/>
      <c r="M132" s="122" t="n"/>
      <c r="N132" s="122" t="n"/>
    </row>
    <row r="133">
      <c r="K133" s="122" t="n"/>
      <c r="L133" s="122" t="n"/>
      <c r="M133" s="122" t="n"/>
      <c r="N133" s="122" t="n"/>
    </row>
    <row r="134">
      <c r="K134" s="122" t="n"/>
      <c r="L134" s="122" t="n"/>
      <c r="M134" s="122" t="n"/>
      <c r="N134" s="122" t="n"/>
    </row>
    <row r="135">
      <c r="K135" s="122" t="n"/>
      <c r="L135" s="122" t="n"/>
      <c r="M135" s="122" t="n"/>
      <c r="N135" s="122" t="n"/>
    </row>
    <row r="136">
      <c r="K136" s="122" t="n"/>
      <c r="L136" s="122" t="n"/>
      <c r="M136" s="122" t="n"/>
      <c r="N136" s="122" t="n"/>
    </row>
    <row r="137">
      <c r="K137" s="122" t="n"/>
      <c r="L137" s="122" t="n"/>
      <c r="M137" s="122" t="n"/>
      <c r="N137" s="122" t="n"/>
    </row>
    <row r="138">
      <c r="K138" s="122" t="n"/>
      <c r="L138" s="122" t="n"/>
      <c r="M138" s="122" t="n"/>
      <c r="N138" s="122" t="n"/>
    </row>
    <row r="139">
      <c r="I139" s="122" t="n"/>
      <c r="J139" s="122" t="n"/>
      <c r="K139" s="122" t="n"/>
      <c r="L139" s="122" t="n"/>
      <c r="M139" s="122" t="n"/>
      <c r="N139" s="122" t="n"/>
    </row>
  </sheetData>
  <mergeCells count="21">
    <mergeCell ref="D11:L11"/>
    <mergeCell ref="Y1:AA1"/>
    <mergeCell ref="A96:D96"/>
    <mergeCell ref="G87:I87"/>
    <mergeCell ref="D87:F87"/>
    <mergeCell ref="E96:H96"/>
    <mergeCell ref="C117:D117"/>
    <mergeCell ref="A107:D107"/>
    <mergeCell ref="R38:X38"/>
    <mergeCell ref="H107:J107"/>
    <mergeCell ref="D1:L1"/>
    <mergeCell ref="A24:O24"/>
    <mergeCell ref="A1:C1"/>
    <mergeCell ref="A49:O49"/>
    <mergeCell ref="A117:B117"/>
    <mergeCell ref="A38:Q38"/>
    <mergeCell ref="M1:O1"/>
    <mergeCell ref="A61:L61"/>
    <mergeCell ref="J87:L87"/>
    <mergeCell ref="A87:C87"/>
    <mergeCell ref="E107:G10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7.42342342342342" customWidth="1" min="1" max="1"/>
    <col width="8.855855855855861" customWidth="1" min="2" max="2"/>
    <col width="15.4234234234234" customWidth="1" min="3" max="3"/>
    <col width="8.855855855855861" customWidth="1" min="4" max="4"/>
    <col width="15.5765765765766" customWidth="1" min="5" max="5"/>
    <col width="16.7117117117117" customWidth="1" min="6" max="6"/>
    <col width="15.5765765765766" customWidth="1" min="7" max="7"/>
    <col width="8.855855855855861" customWidth="1" min="8" max="8"/>
    <col width="13" customWidth="1" min="10" max="10"/>
  </cols>
  <sheetData>
    <row r="1" ht="32.25" customHeight="1">
      <c r="A1" s="123" t="inlineStr">
        <is>
          <t>工艺设备推荐表</t>
        </is>
      </c>
    </row>
    <row r="2" ht="30" customHeight="1">
      <c r="A2" s="124" t="inlineStr">
        <is>
          <t>f下限</t>
        </is>
      </c>
      <c r="B2" s="124" t="inlineStr">
        <is>
          <t>f上限</t>
        </is>
      </c>
      <c r="C2" s="124" t="inlineStr">
        <is>
          <t>推荐工艺</t>
        </is>
      </c>
      <c r="D2" s="124" t="inlineStr">
        <is>
          <t>推荐挖机</t>
        </is>
      </c>
      <c r="E2" s="124" t="inlineStr">
        <is>
          <t>短途矿卡(&lt;3km)</t>
        </is>
      </c>
      <c r="F2" s="124" t="inlineStr">
        <is>
          <t>中途矿卡(3-8km)</t>
        </is>
      </c>
      <c r="G2" s="124" t="inlineStr">
        <is>
          <t>长途矿卡(&gt;8km)</t>
        </is>
      </c>
      <c r="H2" s="124" t="inlineStr">
        <is>
          <t>推荐钻机</t>
        </is>
      </c>
      <c r="I2" s="124" t="inlineStr">
        <is>
          <t>推荐孔径</t>
        </is>
      </c>
      <c r="J2" s="124" t="inlineStr">
        <is>
          <t>电动矿卡</t>
        </is>
      </c>
      <c r="K2" s="124" t="inlineStr">
        <is>
          <t>柴油矿卡</t>
        </is>
      </c>
    </row>
    <row r="3" ht="30" customHeight="1">
      <c r="A3" s="125" t="n">
        <v>0</v>
      </c>
      <c r="B3" s="125" t="n">
        <v>0.9</v>
      </c>
      <c r="C3" s="126" t="inlineStr">
        <is>
          <t>直接开挖</t>
        </is>
      </c>
      <c r="D3" s="126" t="inlineStr">
        <is>
          <t>W2.5</t>
        </is>
      </c>
      <c r="E3" s="126" t="inlineStr">
        <is>
          <t>T30H</t>
        </is>
      </c>
      <c r="F3" s="126" t="inlineStr">
        <is>
          <t>T30H</t>
        </is>
      </c>
      <c r="G3" s="126" t="inlineStr">
        <is>
          <t>T30H</t>
        </is>
      </c>
      <c r="H3" s="126" t="inlineStr">
        <is>
          <t>—</t>
        </is>
      </c>
      <c r="I3" s="126" t="inlineStr">
        <is>
          <t>—</t>
        </is>
      </c>
      <c r="J3" s="126" t="inlineStr">
        <is>
          <t>—</t>
        </is>
      </c>
      <c r="K3" s="126" t="inlineStr">
        <is>
          <t>T30H</t>
        </is>
      </c>
    </row>
    <row r="4" ht="30" customHeight="1">
      <c r="A4" s="125" t="n">
        <v>1</v>
      </c>
      <c r="B4" s="125" t="n">
        <v>3.9</v>
      </c>
      <c r="C4" s="126" t="inlineStr">
        <is>
          <t>松土器松土+开挖</t>
        </is>
      </c>
      <c r="D4" s="126" t="inlineStr">
        <is>
          <t>W3.2</t>
        </is>
      </c>
      <c r="E4" s="126" t="inlineStr">
        <is>
          <t>T30H</t>
        </is>
      </c>
      <c r="F4" s="126" t="inlineStr">
        <is>
          <t>T30H</t>
        </is>
      </c>
      <c r="G4" s="126" t="inlineStr">
        <is>
          <t>T65B</t>
        </is>
      </c>
      <c r="H4" s="126" t="inlineStr">
        <is>
          <t>—</t>
        </is>
      </c>
      <c r="I4" s="126" t="inlineStr">
        <is>
          <t>—</t>
        </is>
      </c>
      <c r="J4" s="126" t="inlineStr">
        <is>
          <t>—</t>
        </is>
      </c>
      <c r="K4" s="126" t="inlineStr">
        <is>
          <t>T30H</t>
        </is>
      </c>
    </row>
    <row r="5" ht="30" customHeight="1">
      <c r="A5" s="125" t="n">
        <v>4</v>
      </c>
      <c r="B5" s="125" t="n">
        <v>5.9</v>
      </c>
      <c r="C5" s="126" t="inlineStr">
        <is>
          <t>爆破+开挖</t>
        </is>
      </c>
      <c r="D5" s="126" t="inlineStr">
        <is>
          <t>W4.5</t>
        </is>
      </c>
      <c r="E5" s="126" t="inlineStr">
        <is>
          <t>T65B</t>
        </is>
      </c>
      <c r="F5" s="126" t="inlineStr">
        <is>
          <t>T65B</t>
        </is>
      </c>
      <c r="G5" s="126" t="inlineStr">
        <is>
          <t>T91B</t>
        </is>
      </c>
      <c r="H5" s="126" t="inlineStr">
        <is>
          <t>ZG90</t>
        </is>
      </c>
      <c r="I5" s="126" t="n">
        <v>90</v>
      </c>
      <c r="J5" s="126" t="inlineStr">
        <is>
          <t>E60Y</t>
        </is>
      </c>
      <c r="K5" s="126" t="inlineStr">
        <is>
          <t>T65B</t>
        </is>
      </c>
    </row>
    <row r="6" ht="30" customHeight="1">
      <c r="A6" s="125" t="n">
        <v>6</v>
      </c>
      <c r="B6" s="125" t="n">
        <v>7.9</v>
      </c>
      <c r="C6" s="126" t="inlineStr">
        <is>
          <t>爆破+开挖</t>
        </is>
      </c>
      <c r="D6" s="126" t="inlineStr">
        <is>
          <t>W5.5</t>
        </is>
      </c>
      <c r="E6" s="126" t="inlineStr">
        <is>
          <t>T91B</t>
        </is>
      </c>
      <c r="F6" s="126" t="inlineStr">
        <is>
          <t>T91B</t>
        </is>
      </c>
      <c r="G6" s="126" t="inlineStr">
        <is>
          <t>T91B</t>
        </is>
      </c>
      <c r="H6" s="126" t="inlineStr">
        <is>
          <t>AC90</t>
        </is>
      </c>
      <c r="I6" s="126" t="n">
        <v>90</v>
      </c>
      <c r="J6" s="126" t="inlineStr">
        <is>
          <t>E75T</t>
        </is>
      </c>
      <c r="K6" s="126" t="inlineStr">
        <is>
          <t>T91B</t>
        </is>
      </c>
    </row>
    <row r="7" ht="30" customHeight="1">
      <c r="A7" s="125" t="n">
        <v>8</v>
      </c>
      <c r="B7" s="125" t="n">
        <v>13.9</v>
      </c>
      <c r="C7" s="126" t="inlineStr">
        <is>
          <t>爆破+开挖</t>
        </is>
      </c>
      <c r="D7" s="126" t="inlineStr">
        <is>
          <t>W6.5</t>
        </is>
      </c>
      <c r="E7" s="126" t="inlineStr">
        <is>
          <t>T91B</t>
        </is>
      </c>
      <c r="F7" s="126" t="inlineStr">
        <is>
          <t>T91B</t>
        </is>
      </c>
      <c r="G7" s="126" t="inlineStr">
        <is>
          <t>T91B</t>
        </is>
      </c>
      <c r="H7" s="126" t="inlineStr">
        <is>
          <t>AC120</t>
        </is>
      </c>
      <c r="I7" s="126" t="n">
        <v>115</v>
      </c>
      <c r="J7" s="126" t="inlineStr">
        <is>
          <t>E93L</t>
        </is>
      </c>
      <c r="K7" s="126" t="inlineStr">
        <is>
          <t>T91B</t>
        </is>
      </c>
    </row>
    <row r="8" ht="30" customHeight="1">
      <c r="A8" s="125" t="n">
        <v>14</v>
      </c>
      <c r="B8" s="125" t="n">
        <v>22</v>
      </c>
      <c r="C8" s="126" t="inlineStr">
        <is>
          <t>爆破+开挖</t>
        </is>
      </c>
      <c r="D8" s="126" t="inlineStr">
        <is>
          <t>W8.0</t>
        </is>
      </c>
      <c r="E8" s="126" t="inlineStr">
        <is>
          <t>T91B</t>
        </is>
      </c>
      <c r="F8" s="126" t="inlineStr">
        <is>
          <t>T91B</t>
        </is>
      </c>
      <c r="G8" s="126" t="inlineStr">
        <is>
          <t>T91B</t>
        </is>
      </c>
      <c r="H8" s="126" t="inlineStr">
        <is>
          <t>AC120</t>
        </is>
      </c>
      <c r="I8" s="126" t="n">
        <v>115</v>
      </c>
      <c r="J8" s="126" t="inlineStr">
        <is>
          <t>E93L</t>
        </is>
      </c>
      <c r="K8" s="126" t="inlineStr">
        <is>
          <t>T91B</t>
        </is>
      </c>
    </row>
    <row r="9">
      <c r="A9" s="127" t="n"/>
      <c r="B9" s="127" t="n"/>
      <c r="C9" s="127" t="n"/>
      <c r="D9" s="127" t="n"/>
      <c r="E9" s="127" t="n"/>
      <c r="F9" s="127" t="n"/>
      <c r="G9" s="127" t="n"/>
      <c r="H9" s="127" t="n"/>
      <c r="I9" s="127" t="n"/>
      <c r="J9" s="127" t="n"/>
      <c r="K9" s="127" t="n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21.2792792792793" customWidth="1" min="1" max="1"/>
    <col width="12.4324324324324" customWidth="1" min="2" max="2"/>
    <col width="35.6036036036036" customWidth="1" min="3" max="3"/>
    <col width="12.7387387387387" customWidth="1" min="4" max="4"/>
  </cols>
  <sheetData>
    <row r="1" ht="31" customHeight="1">
      <c r="A1" s="128" t="inlineStr">
        <is>
          <t>钻孔成本计算明细表</t>
        </is>
      </c>
    </row>
    <row r="2" ht="23.15" customHeight="1">
      <c r="A2" s="129" t="inlineStr">
        <is>
          <t>最终爆破成本(元/方)</t>
        </is>
      </c>
      <c r="B2" s="130">
        <f>B17+B37</f>
        <v/>
      </c>
      <c r="C2" s="131" t="inlineStr">
        <is>
          <t>总爆破成本 = 主爆破费(B17) + 预裂附加费(B37)</t>
        </is>
      </c>
    </row>
    <row r="3" ht="23.9" customHeight="1">
      <c r="A3" s="132" t="inlineStr">
        <is>
          <t>工艺判断</t>
        </is>
      </c>
      <c r="B3" s="133">
        <f>IF(ISBLANK('成本汇总-测算主表'!$B$12),"请选择工艺",IF(OR('成本汇总-测算主表'!$B$12="直接开挖",'成本汇总-测算主表'!$B$12="松土器松土+开挖",'成本汇总-测算主表'!$B$12="机械破碎+开挖"),"不适用","正常计算"))</f>
        <v/>
      </c>
      <c r="C3" s="134" t="inlineStr">
        <is>
          <t>工艺判断：非"爆破"类工艺时，钻爆所有项归零</t>
        </is>
      </c>
    </row>
    <row r="4" ht="30" customHeight="1">
      <c r="A4" s="135" t="inlineStr">
        <is>
          <t>--- 单方爆破费用计算明细 ---</t>
        </is>
      </c>
      <c r="B4" s="217" t="n"/>
      <c r="C4" s="218" t="n"/>
    </row>
    <row r="5">
      <c r="A5" s="136" t="inlineStr">
        <is>
          <t>炸药费(元/方)</t>
        </is>
      </c>
      <c r="B5" s="137">
        <f>IF(OR(B3="不适用",B3="请选择工艺"),0,IFERROR(B56/B72*'基础核心-参数库'!$B$6,0))</f>
        <v/>
      </c>
      <c r="C5" s="138" t="n"/>
    </row>
    <row r="6" ht="34.7" customHeight="1">
      <c r="A6" s="136" t="inlineStr">
        <is>
          <t>雷管费(元/方)</t>
        </is>
      </c>
      <c r="B6" s="137">
        <f>IF(OR(B3="不适用",B3="请选择工艺"),0,IFERROR('基础核心-参数库'!$B$7/B72,0))</f>
        <v/>
      </c>
      <c r="C6" s="139" t="inlineStr">
        <is>
          <t>雷管费 = 雷管单价(参数库B7)÷每孔体积；按每孔1发雷管计</t>
        </is>
      </c>
    </row>
    <row r="7" ht="34.7" customHeight="1">
      <c r="A7" s="136" t="inlineStr">
        <is>
          <t>导爆索费(元/方)</t>
        </is>
      </c>
      <c r="B7" s="137">
        <f>IF(OR(B3="不适用",B3="请选择工艺"),0,IFERROR('基础核心-参数库'!$B$8*B69/B72,0))</f>
        <v/>
      </c>
      <c r="C7" s="139" t="inlineStr">
        <is>
          <t>导爆索费 = 导爆索单价(B8)×孔深(B69)÷每孔体积</t>
        </is>
      </c>
    </row>
    <row r="8" ht="34.7" customHeight="1">
      <c r="A8" s="136" t="inlineStr">
        <is>
          <t>单人日装药孔数</t>
        </is>
      </c>
      <c r="B8" s="140">
        <f>IF(OR(B3="不适用",B3="请选择工艺"),0,IFERROR('基础核心-参数库'!$B$17/B56,0))</f>
        <v/>
      </c>
      <c r="C8" s="139" t="inlineStr">
        <is>
          <t>单人日装药孔数 = 单人日装药能力(B17)÷代表单孔药量(B56)</t>
        </is>
      </c>
    </row>
    <row r="9" ht="23.15" customHeight="1">
      <c r="A9" s="136" t="inlineStr">
        <is>
          <t>每日爆破方量</t>
        </is>
      </c>
      <c r="B9" s="140">
        <f>B8*B72</f>
        <v/>
      </c>
      <c r="C9" s="139" t="inlineStr">
        <is>
          <t>每日爆破方量 = 日装药孔数(B8) × 每孔体积(B72)</t>
        </is>
      </c>
    </row>
    <row r="10" ht="23.15" customHeight="1">
      <c r="A10" s="136" t="inlineStr">
        <is>
          <t>装药人工费(元/方)</t>
        </is>
      </c>
      <c r="B10" s="137">
        <f>IF(OR(B3="不适用",B3="请选择工艺"),0,IFERROR('基础核心-参数库'!$B$16/B9,0))</f>
        <v/>
      </c>
      <c r="C10" s="139" t="inlineStr">
        <is>
          <t>装药人工费 = 爆破工日工资(B16)÷每日方量(B9)</t>
        </is>
      </c>
    </row>
    <row r="11" ht="46.3" customHeight="1">
      <c r="A11" s="136" t="inlineStr">
        <is>
          <t>装载机折旧(元/台班)</t>
        </is>
      </c>
      <c r="B11" s="137">
        <f>IF(OR(B3="不适用",B3="请选择工艺"),0,('基础核心-参数库'!$B$101*10000*(1-'基础核心-参数库'!$B$103)/'基础核心-参数库'!$B$102)*'基础核心-参数库'!$Z$6)</f>
        <v/>
      </c>
      <c r="C11" s="139" t="inlineStr">
        <is>
          <t>装载机折旧维修=原值(B101)×(1-残值率B103)÷耐用台班(B102)×系数【常量Z6=1.5】</t>
        </is>
      </c>
    </row>
    <row r="12" ht="46.3" customHeight="1">
      <c r="A12" s="136" t="inlineStr">
        <is>
          <t>装载机能源(元/台班)</t>
        </is>
      </c>
      <c r="B12" s="137">
        <f>IF(OR(B3="不适用",B3="请选择工艺"),0,'基础核心-参数库'!$B$100*'基础核心-参数库'!$Z$10*'基础核心-参数库'!$B$3/'基础核心-参数库'!$Z$11)</f>
        <v/>
      </c>
      <c r="C12" s="139" t="inlineStr">
        <is>
          <t>装载机能源=小时油耗(B100)×台班小时【常量Z10=8】×柴油单价(B3)÷柴油效率【常量Z11=0.75】</t>
        </is>
      </c>
    </row>
    <row r="13" ht="23.15" customHeight="1">
      <c r="A13" s="136" t="inlineStr">
        <is>
          <t>装载机保险(元/台班)</t>
        </is>
      </c>
      <c r="B13" s="137">
        <f>IF(OR(B3="不适用",B3="请选择工艺"),0,'基础核心-参数库'!$B$101*10000*'基础核心-参数库'!$B$19/'基础核心-参数库'!$B$18)</f>
        <v/>
      </c>
      <c r="C13" s="139" t="inlineStr">
        <is>
          <t>装载机保险=原值×保险费率(B19)÷年台班(B18)</t>
        </is>
      </c>
    </row>
    <row r="14" ht="23.15" customHeight="1">
      <c r="A14" s="136" t="inlineStr">
        <is>
          <t>装载机台班费(元)</t>
        </is>
      </c>
      <c r="B14" s="137">
        <f>B11+B12+B13</f>
        <v/>
      </c>
      <c r="C14" s="139" t="inlineStr">
        <is>
          <t>装载机台班费 = 折旧维修+能源+保险</t>
        </is>
      </c>
    </row>
    <row r="15" ht="34.7" customHeight="1">
      <c r="A15" s="136" t="inlineStr">
        <is>
          <t>装载机辅助费(元/方)</t>
        </is>
      </c>
      <c r="B15" s="137">
        <f>IF(OR(B3="不适用",B3="请选择工艺"),0,IFERROR(B14*'基础核心-参数库'!$B$105/B9,0))</f>
        <v/>
      </c>
      <c r="C15" s="139" t="inlineStr">
        <is>
          <t>装载机辅助费 = 台班费×台班利用系数(B105)÷服务方量</t>
        </is>
      </c>
    </row>
    <row r="16" ht="23.15" customHeight="1">
      <c r="A16" s="136" t="inlineStr">
        <is>
          <t>警戒排险费(元/方)</t>
        </is>
      </c>
      <c r="B16" s="137">
        <f>IF(OR(B3="不适用",B3="请选择工艺"),0,'基础核心-参数库'!$B$22)</f>
        <v/>
      </c>
      <c r="C16" s="139" t="inlineStr">
        <is>
          <t>警戒排险费：参数库B22默认0.5元/方</t>
        </is>
      </c>
    </row>
    <row r="17" ht="35.45" customHeight="1">
      <c r="A17" s="141" t="inlineStr">
        <is>
          <t>主爆破费(元/方)</t>
        </is>
      </c>
      <c r="B17" s="142">
        <f>IF(OR(B3="不适用",B3="请选择工艺"),0,(B103+B5+B6+B7+B10+B15+B16)*(1+B22*'基础核心-参数库'!$Z$27))</f>
        <v/>
      </c>
      <c r="C17" s="143" t="inlineStr">
        <is>
          <t>主爆破费 = (钻机摊销+炸药+雷管+索+装药人工+装载机辅助+警戒) × (1 + 缓冲孔排数×Z27=0.15)</t>
        </is>
      </c>
    </row>
    <row r="18" ht="14.85" customHeight="1">
      <c r="A18" s="144" t="n"/>
      <c r="B18" s="144" t="n"/>
      <c r="C18" s="145" t="n"/>
    </row>
    <row r="19" ht="30" customHeight="1">
      <c r="A19" s="135" t="inlineStr">
        <is>
          <t>--- 预裂爆破计算明细 ---</t>
        </is>
      </c>
      <c r="B19" s="217" t="n"/>
      <c r="C19" s="218" t="n"/>
    </row>
    <row r="20" ht="23.15" customHeight="1">
      <c r="A20" s="136" t="inlineStr">
        <is>
          <t>爆破长度 L(m)</t>
        </is>
      </c>
      <c r="B20" s="146">
        <f>'成本汇总-测算主表'!$B$44</f>
        <v/>
      </c>
      <c r="C20" s="139" t="inlineStr">
        <is>
          <t>场地长度 = 主表B44：沿台阶走向的一次爆破长度</t>
        </is>
      </c>
    </row>
    <row r="21">
      <c r="A21" s="136" t="inlineStr">
        <is>
          <t>爆破宽度 W(m)</t>
        </is>
      </c>
      <c r="B21" s="146">
        <f>'成本汇总-测算主表'!$B$45</f>
        <v/>
      </c>
      <c r="C21" s="139" t="inlineStr">
        <is>
          <t>场地宽度 = 主表B45</t>
        </is>
      </c>
    </row>
    <row r="22">
      <c r="A22" s="136" t="inlineStr">
        <is>
          <t>缓冲孔排数</t>
        </is>
      </c>
      <c r="B22" s="146">
        <f>'成本汇总-测算主表'!$B$46</f>
        <v/>
      </c>
      <c r="C22" s="139" t="inlineStr">
        <is>
          <t>缓冲孔排数 = 主表B46</t>
        </is>
      </c>
    </row>
    <row r="23" ht="46.3" customHeight="1">
      <c r="A23" s="136" t="inlineStr">
        <is>
          <t>预裂孔孔距(m)</t>
        </is>
      </c>
      <c r="B23" s="140">
        <f>IF(B47="是",IFERROR(SUMIFS('基础核心-参数库'!$G$109:$G$113,'基础核心-参数库'!$E$109:$E$113,"&lt;="&amp;'成本汇总-测算主表'!$B$5,'基础核心-参数库'!$F$109:$F$113,"&gt;"&amp;'成本汇总-测算主表'!$B$5)*B49/1000,10*B49/1000),0)</f>
        <v/>
      </c>
      <c r="C23" s="139" t="inlineStr">
        <is>
          <t>预裂孔距(m) = SUMIFS按f值查参数库 E109:G113 的孔距系数K × 缓冲排数 ÷ 1000</t>
        </is>
      </c>
    </row>
    <row r="24" ht="23.15" customHeight="1">
      <c r="A24" s="136" t="inlineStr">
        <is>
          <t>预裂孔数量</t>
        </is>
      </c>
      <c r="B24" s="140">
        <f>IF(AND(B47="是",B20&gt;0),ROUNDUP(B20/B23,0),0)</f>
        <v/>
      </c>
      <c r="C24" s="139" t="inlineStr">
        <is>
          <t>预裂孔数量 = ROUNDUP(场地长度÷预裂孔距)</t>
        </is>
      </c>
    </row>
    <row r="25" ht="34.7" customHeight="1">
      <c r="A25" s="136" t="inlineStr">
        <is>
          <t>预裂单孔钻孔费</t>
        </is>
      </c>
      <c r="B25" s="140">
        <f>IF(B47="是",B102*(B40+'基础核心-参数库'!$B$112),0)</f>
        <v/>
      </c>
      <c r="C25" s="139" t="inlineStr">
        <is>
          <t>预裂单孔钻孔费 = 钻机每米费(B102)×(台阶高+超钻)</t>
        </is>
      </c>
    </row>
    <row r="26" ht="34.7" customHeight="1">
      <c r="A26" s="136" t="inlineStr">
        <is>
          <t>预裂单孔装药费</t>
        </is>
      </c>
      <c r="B26" s="140">
        <f>IF(B47="是",'基础核心-参数库'!$B$110*B20*'基础核心-参数库'!$B$6+'基础核心-参数库'!$B$113*'基础核心-参数库'!$B$110*'基础核心-参数库'!$B$112*'基础核心-参数库'!$B$6,0)</f>
        <v/>
      </c>
      <c r="C26" s="139" t="inlineStr">
        <is>
          <t>预裂单孔装药费 = 预裂线装药密度(B110)×台阶高×炸药单价</t>
        </is>
      </c>
    </row>
    <row r="27" ht="23.15" customHeight="1">
      <c r="A27" s="136" t="inlineStr">
        <is>
          <t>预裂单孔雷管费</t>
        </is>
      </c>
      <c r="B27" s="140">
        <f>IF(B47="是",'基础核心-参数库'!$B$114*'基础核心-参数库'!$B$7,0)</f>
        <v/>
      </c>
      <c r="C27" s="139" t="inlineStr">
        <is>
          <t>预裂单孔雷管费 = 雷管发数(B114)×雷管单价</t>
        </is>
      </c>
    </row>
    <row r="28" ht="23.15" customHeight="1">
      <c r="A28" s="136" t="inlineStr">
        <is>
          <t>预裂单孔总费用</t>
        </is>
      </c>
      <c r="B28" s="140">
        <f>B25+B26+B27</f>
        <v/>
      </c>
      <c r="C28" s="139" t="inlineStr">
        <is>
          <t>预裂单孔总费 = 钻孔+装药+雷管</t>
        </is>
      </c>
    </row>
    <row r="29" ht="23.15" customHeight="1">
      <c r="A29" s="136" t="inlineStr">
        <is>
          <t>预裂总费用</t>
        </is>
      </c>
      <c r="B29" s="140">
        <f>B24*B28</f>
        <v/>
      </c>
      <c r="C29" s="139" t="inlineStr">
        <is>
          <t>预裂总费用 = 单孔费(B28) × 孔数(B24)</t>
        </is>
      </c>
    </row>
    <row r="30" ht="34.7" customHeight="1">
      <c r="A30" s="136" t="inlineStr">
        <is>
          <t>缓冲孔孔距(m)</t>
        </is>
      </c>
      <c r="B30" s="140">
        <f>B69*'基础核心-参数库'!$I$110</f>
        <v/>
      </c>
      <c r="C30" s="139" t="inlineStr">
        <is>
          <t>缓冲孔孔距 = 孔距a(B69)×缓冲孔系数(参数库I110)</t>
        </is>
      </c>
    </row>
    <row r="31" ht="23.15" customHeight="1">
      <c r="A31" s="136" t="inlineStr">
        <is>
          <t>缓冲孔排距(m)</t>
        </is>
      </c>
      <c r="B31" s="140">
        <f>B70*'基础核心-参数库'!$I$111</f>
        <v/>
      </c>
      <c r="C31" s="139" t="inlineStr">
        <is>
          <t>缓冲孔排距 = 排距b(B70)×缓冲孔系数(I111)</t>
        </is>
      </c>
    </row>
    <row r="32" ht="23.15" customHeight="1">
      <c r="A32" s="136" t="inlineStr">
        <is>
          <t>缓冲孔数量</t>
        </is>
      </c>
      <c r="B32" s="140">
        <f>IF(AND(B47="是",B22&gt;0,B20&gt;0),ROUNDUP(B20/B30,0)*B22,0)</f>
        <v/>
      </c>
      <c r="C32" s="139" t="inlineStr">
        <is>
          <t>缓冲孔数量 = ROUNDUP(长度÷孔距)×排数</t>
        </is>
      </c>
    </row>
    <row r="33" ht="23.15" customHeight="1">
      <c r="A33" s="136" t="inlineStr">
        <is>
          <t>单孔缓冲钻孔费</t>
        </is>
      </c>
      <c r="B33" s="140">
        <f>IF(B47="是",B102*B67,0)</f>
        <v/>
      </c>
      <c r="C33" s="139" t="inlineStr">
        <is>
          <t>缓冲单孔钻孔费 = 钻机每米费×孔深</t>
        </is>
      </c>
    </row>
    <row r="34" ht="34.7" customHeight="1">
      <c r="A34" s="136" t="inlineStr">
        <is>
          <t>单孔缓冲装药费</t>
        </is>
      </c>
      <c r="B34" s="140">
        <f>IF(B47="是",B56*'基础核心-参数库'!$I$109*'基础核心-参数库'!$B$6,0)</f>
        <v/>
      </c>
      <c r="C34" s="139" t="inlineStr">
        <is>
          <t>缓冲单孔装药费 = 单耗(B56)×系数(I109)×炸药单价</t>
        </is>
      </c>
    </row>
    <row r="35">
      <c r="A35" s="136" t="inlineStr">
        <is>
          <t>单孔缓冲总费用</t>
        </is>
      </c>
      <c r="B35" s="140">
        <f>B33+B34</f>
        <v/>
      </c>
      <c r="C35" s="139" t="inlineStr">
        <is>
          <t>缓冲单孔总费 = 钻孔+装药</t>
        </is>
      </c>
    </row>
    <row r="36" ht="23.15" customHeight="1">
      <c r="A36" s="136" t="inlineStr">
        <is>
          <t>缓冲孔总费用</t>
        </is>
      </c>
      <c r="B36" s="140">
        <f>B32*B35</f>
        <v/>
      </c>
      <c r="C36" s="139" t="inlineStr">
        <is>
          <t>缓冲孔总费用 = 单孔费 × 孔数</t>
        </is>
      </c>
    </row>
    <row r="37" ht="35.45" customHeight="1">
      <c r="A37" s="141" t="inlineStr">
        <is>
          <t>预裂附加费(元/方)</t>
        </is>
      </c>
      <c r="B37" s="147">
        <f>IF(AND(B47="是",B20&gt;0,B21&gt;0,'成本汇总-测算主表'!$B$47&gt;0),(B29+B36)/(B20*B21*'成本汇总-测算主表'!$B$47),0)</f>
        <v/>
      </c>
      <c r="C37" s="143" t="inlineStr">
        <is>
          <t>预裂附加费(元/方) = (预裂总费+缓冲总费)÷影响范围方量</t>
        </is>
      </c>
    </row>
    <row r="38" ht="14.85" customHeight="1">
      <c r="A38" s="148" t="n"/>
      <c r="B38" s="148" t="n"/>
      <c r="C38" s="149" t="n"/>
    </row>
    <row r="39" ht="30" customHeight="1">
      <c r="A39" s="135" t="inlineStr">
        <is>
          <t>--- 作业面基本参数汇集 ---</t>
        </is>
      </c>
      <c r="B39" s="217" t="n"/>
      <c r="C39" s="218" t="n"/>
    </row>
    <row r="40">
      <c r="A40" s="136" t="inlineStr">
        <is>
          <t>台阶高度H(m)</t>
        </is>
      </c>
      <c r="B40" s="150">
        <f>'成本汇总-测算主表'!$B$47</f>
        <v/>
      </c>
      <c r="C40" s="139" t="inlineStr">
        <is>
          <t>台阶高度 = 主表B47</t>
        </is>
      </c>
    </row>
    <row r="41">
      <c r="A41" s="136" t="inlineStr">
        <is>
          <t>坡面角α(°)</t>
        </is>
      </c>
      <c r="B41" s="151">
        <f>'成本汇总-测算主表'!$B$48</f>
        <v/>
      </c>
      <c r="C41" s="139" t="inlineStr">
        <is>
          <t>坡面角 = 主表B48</t>
        </is>
      </c>
    </row>
    <row r="42">
      <c r="A42" s="136" t="inlineStr">
        <is>
          <t>钻孔倾角(°)</t>
        </is>
      </c>
      <c r="B42" s="151">
        <f>'成本汇总-测算主表'!$B$49</f>
        <v/>
      </c>
      <c r="C42" s="139" t="inlineStr">
        <is>
          <t>钻孔倾角 = 主表B49</t>
        </is>
      </c>
    </row>
    <row r="43">
      <c r="A43" s="136" t="inlineStr">
        <is>
          <t>布孔形式</t>
        </is>
      </c>
      <c r="B43" s="150">
        <f>'成本汇总-测算主表'!$B$50</f>
        <v/>
      </c>
      <c r="C43" s="139" t="inlineStr">
        <is>
          <t>布孔形式 = 主表B50</t>
        </is>
      </c>
    </row>
    <row r="44">
      <c r="A44" s="136" t="inlineStr">
        <is>
          <t>孔径(mm)</t>
        </is>
      </c>
      <c r="B44" s="151">
        <f>'成本汇总-测算主表'!$B$52</f>
        <v/>
      </c>
      <c r="C44" s="139" t="inlineStr">
        <is>
          <t>孔径 = 主表B52</t>
        </is>
      </c>
    </row>
    <row r="45">
      <c r="A45" s="136" t="inlineStr">
        <is>
          <t>钻机代号</t>
        </is>
      </c>
      <c r="B45" s="150">
        <f>'成本汇总-测算主表'!$B$29</f>
        <v/>
      </c>
      <c r="C45" s="139" t="inlineStr">
        <is>
          <t>钻机代号 = 主表B29</t>
        </is>
      </c>
    </row>
    <row r="46">
      <c r="A46" s="136" t="inlineStr">
        <is>
          <t>钻机来源</t>
        </is>
      </c>
      <c r="B46" s="150">
        <f>'成本汇总-测算主表'!$B$30</f>
        <v/>
      </c>
      <c r="C46" s="139" t="inlineStr">
        <is>
          <t>钻机来源 = 主表B30</t>
        </is>
      </c>
    </row>
    <row r="47" ht="34.7" customHeight="1">
      <c r="A47" s="136" t="inlineStr">
        <is>
          <t>是否预裂</t>
        </is>
      </c>
      <c r="B47" s="152">
        <f>IF(AND('成本汇总-测算主表'!$B$9="是",'成本汇总-测算主表'!$B$5&gt;=5,'成本汇总-测算主表'!$B$53="是"),"是","否")</f>
        <v/>
      </c>
      <c r="C47" s="139" t="inlineStr">
        <is>
          <t>是否预裂逻辑：可预裂(主表B9)=是 且 f≥5 且 主表B54=是</t>
        </is>
      </c>
    </row>
    <row r="48" ht="23.15" customHeight="1">
      <c r="A48" s="136" t="inlineStr">
        <is>
          <t>预裂角度</t>
        </is>
      </c>
      <c r="B48" s="153">
        <f>IF(B47="是",75,0)</f>
        <v/>
      </c>
      <c r="C48" s="139" t="inlineStr">
        <is>
          <t>预裂角度：固定75°（缓冲孔倾向角）</t>
        </is>
      </c>
    </row>
    <row r="49">
      <c r="A49" s="141" t="inlineStr">
        <is>
          <t>预裂孔径</t>
        </is>
      </c>
      <c r="B49" s="154">
        <f>'成本汇总-测算主表'!$B$52</f>
        <v/>
      </c>
      <c r="C49" s="143" t="inlineStr">
        <is>
          <t>预裂孔径 = 主表B52</t>
        </is>
      </c>
    </row>
    <row r="50" ht="14.85" customHeight="1">
      <c r="A50" s="148" t="n"/>
      <c r="B50" s="148" t="n"/>
      <c r="C50" s="149" t="n"/>
    </row>
    <row r="51" ht="30" customHeight="1">
      <c r="A51" s="135" t="inlineStr">
        <is>
          <t>--- 装药量参数汇集 ---</t>
        </is>
      </c>
      <c r="B51" s="217" t="n"/>
      <c r="C51" s="218" t="n"/>
    </row>
    <row r="52" ht="37.3" customHeight="1">
      <c r="A52" s="136" t="inlineStr">
        <is>
          <t>炸药单耗(kg/m³)</t>
        </is>
      </c>
      <c r="B52" s="155">
        <f>IF(OR(B3="不适用",B3="请选择工艺"),0,(IFERROR(IF('成本汇总-测算主表'!$B$5&lt;='基础核心-参数库'!$D$13,INDEX('基础核心-参数库'!$F$13:$F$22,1),IF('成本汇总-测算主表'!$B$5&gt;='基础核心-参数库'!$D$22,INDEX('基础核心-参数库'!$F$13:$F$22,MATCH('基础核心-参数库'!$D$22,'基础核心-参数库'!$D$13:$D$22,0)),INDEX('基础核心-参数库'!$F$13:$F$22,MATCH('成本汇总-测算主表'!$B$5,'基础核心-参数库'!$D$13:$D$22,1))+('成本汇总-测算主表'!$B$5-INDEX('基础核心-参数库'!$D$13:$D$22,MATCH('成本汇总-测算主表'!$B$5,'基础核心-参数库'!$D$13:$D$22,1)))*(INDEX('基础核心-参数库'!$F$13:$F$22,MATCH('成本汇总-测算主表'!$B$5,'基础核心-参数库'!$D$13:$D$22,1)+1)-INDEX('基础核心-参数库'!$F$13:$F$22,MATCH('成本汇总-测算主表'!$B$5,'基础核心-参数库'!$D$13:$D$22,1)))/(INDEX('基础核心-参数库'!$D$13:$D$22,MATCH('成本汇总-测算主表'!$B$5,'基础核心-参数库'!$D$13:$D$22,1)+1)-INDEX('基础核心-参数库'!$D$13:$D$22,MATCH('成本汇总-测算主表'!$B$5,'基础核心-参数库'!$D$13:$D$22,1))))),0))*(1+MAX(0,'基础核心-参数库'!$Z$28-B41)*'基础核心-参数库'!$Z$29)*(1+ABS(B40-'基础核心-参数库'!$Z$30)/'基础核心-参数库'!$Z$30*'基础核心-参数库'!$Z$31*10))</f>
        <v/>
      </c>
      <c r="C52" s="138" t="inlineStr">
        <is>
          <t>炸药单耗 × 坡面角修正(1+MAX(0,Z28-B41)*Z29) × 台阶高度修正(1+ABS(B40-Z30)/Z30*Z31*10)</t>
        </is>
      </c>
    </row>
    <row r="53" ht="36" customHeight="1">
      <c r="A53" s="136" t="inlineStr">
        <is>
          <t>线装药密度(kg/m)</t>
        </is>
      </c>
      <c r="B53" s="155">
        <f>IF(OR(B3="不适用",B3="请选择工艺"),0,VLOOKUP(B44,'基础核心-参数库'!$D$89:$F$94,2,0)*PI()*(B44/2000)^2*'基础核心-参数库'!$B$94*1000)</f>
        <v/>
      </c>
      <c r="C53" s="139" t="inlineStr">
        <is>
          <t>线装药密度 = 按孔径查参数库 D89:F94 的炸药密度系数 × 孔径²系数</t>
        </is>
      </c>
    </row>
    <row r="54" ht="23.15" customHeight="1">
      <c r="A54" s="136" t="inlineStr">
        <is>
          <t>前排药量(kg)</t>
        </is>
      </c>
      <c r="B54" s="155">
        <f>IF(OR(B3="不适用",B3="请选择工艺"),0,B52*B69*B64*B40)</f>
        <v/>
      </c>
      <c r="C54" s="139" t="inlineStr">
        <is>
          <t>前排药量 = 单耗×孔距×超钻系数(B64)×台阶高</t>
        </is>
      </c>
    </row>
    <row r="55" ht="34.7" customHeight="1">
      <c r="A55" s="136" t="inlineStr">
        <is>
          <t>后排药量(kg)</t>
        </is>
      </c>
      <c r="B55" s="155">
        <f>IF(OR(B3="不适用",B3="请选择工艺"),0,'基础核心-参数库'!$B$92*B52*B69*B70*B40)</f>
        <v/>
      </c>
      <c r="C55" s="139" t="inlineStr">
        <is>
          <t>后排药量 = 后排系数(B92)×单耗×孔距×排距(B70)×台阶高</t>
        </is>
      </c>
    </row>
    <row r="56">
      <c r="A56" s="136" t="inlineStr">
        <is>
          <t>代表单孔药量(kg)</t>
        </is>
      </c>
      <c r="B56" s="155">
        <f>B54*0.3+B55*0.7</f>
        <v/>
      </c>
      <c r="C56" s="138" t="inlineStr">
        <is>
          <t>前后排比例按3:7</t>
        </is>
      </c>
    </row>
    <row r="57" ht="34.7" customHeight="1">
      <c r="A57" s="136" t="inlineStr">
        <is>
          <t>装药长度L1(m)</t>
        </is>
      </c>
      <c r="B57" s="155">
        <f>IFERROR(MIN(B56/B53,B60),0)</f>
        <v/>
      </c>
      <c r="C57" s="139" t="inlineStr">
        <is>
          <t>装药长度 = MIN(代表药量÷线装药密度, 最大装药长度)</t>
        </is>
      </c>
    </row>
    <row r="58" ht="23.15" customHeight="1">
      <c r="A58" s="136" t="inlineStr">
        <is>
          <t>堵塞长度L2(m)</t>
        </is>
      </c>
      <c r="B58" s="155">
        <f>B67-B57</f>
        <v/>
      </c>
      <c r="C58" s="139" t="inlineStr">
        <is>
          <t>堵塞长度 = 孔深(B67) - 装药长度(B57)</t>
        </is>
      </c>
    </row>
    <row r="59" ht="37.3" customHeight="1">
      <c r="A59" s="136" t="inlineStr">
        <is>
          <t>爆破装药安全综合校验</t>
        </is>
      </c>
      <c r="B59" s="129">
        <f>IF(B57=0,"⚠装药长度为0",IF(B57&gt;B67,"⚠装药超孔深",IF(OR(B58&lt;30*B44/1000,B58&lt;B64/3,B58&lt;0.9),"⚠堵塞不足",IF(B57&lt;B60,"间隔装药可行,当前连续装药","✅"))))</f>
        <v/>
      </c>
      <c r="C59" s="138" t="inlineStr">
        <is>
          <t>安全校验：装药长度=0、超孔深、堵塞不足 → 分级警告</t>
        </is>
      </c>
    </row>
    <row r="60" ht="23.9" customHeight="1">
      <c r="A60" s="141" t="inlineStr">
        <is>
          <t>最大装药长度(m)</t>
        </is>
      </c>
      <c r="B60" s="156">
        <f>IF(OR(B3="不适用",B3="请选择工艺"),0,B67*VLOOKUP(B44,'基础核心-参数库'!$D$89:$F$94,3,0))</f>
        <v/>
      </c>
      <c r="C60" s="143" t="inlineStr">
        <is>
          <t>最大装药长度 = 孔深×装填系数(参数库)</t>
        </is>
      </c>
    </row>
    <row r="61" ht="14.85" customHeight="1">
      <c r="A61" s="157" t="n"/>
      <c r="B61" s="157" t="n"/>
      <c r="C61" s="158" t="n"/>
    </row>
    <row r="62" ht="30" customHeight="1">
      <c r="A62" s="135" t="inlineStr">
        <is>
          <t>--- 单孔负担爆破体积计算 ---</t>
        </is>
      </c>
      <c r="B62" s="217" t="n"/>
      <c r="C62" s="218" t="n"/>
    </row>
    <row r="63" ht="24.85" customHeight="1">
      <c r="A63" s="136" t="inlineStr">
        <is>
          <t>底盘抵抗线台阶高度比值系数</t>
        </is>
      </c>
      <c r="B63" s="155">
        <f>IF(OR(B3="不适用",B3="请选择工艺"),0,IFERROR(IF('成本汇总-测算主表'!$B$5&lt;='基础核心-参数库'!$D$13,INDEX('基础核心-参数库'!$K$13:$K$22,1),IF('成本汇总-测算主表'!$B$5&gt;='基础核心-参数库'!$D$22,INDEX('基础核心-参数库'!$K$13:$K$22,MATCH('基础核心-参数库'!$D$22,'基础核心-参数库'!$D$13:$D$22,0)),INDEX('基础核心-参数库'!$K$13:$K$22,MATCH('成本汇总-测算主表'!$B$5,'基础核心-参数库'!$D$13:$D$22,1))+('成本汇总-测算主表'!$B$5-INDEX('基础核心-参数库'!$D$13:$D$22,MATCH('成本汇总-测算主表'!$B$5,'基础核心-参数库'!$D$13:$D$22,1)))*(INDEX('基础核心-参数库'!$K$13:$K$22,MATCH('成本汇总-测算主表'!$B$5,'基础核心-参数库'!$D$13:$D$22,1)+1)-INDEX('基础核心-参数库'!$K$13:$K$22,MATCH('成本汇总-测算主表'!$B$5,'基础核心-参数库'!$D$13:$D$22,1)))/(INDEX('基础核心-参数库'!$D$13:$D$22,MATCH('成本汇总-测算主表'!$B$5,'基础核心-参数库'!$D$13:$D$22,1)+1)-INDEX('基础核心-参数库'!$D$13:$D$22,MATCH('成本汇总-测算主表'!$B$5,'基础核心-参数库'!$D$13:$D$22,1))))),0))</f>
        <v/>
      </c>
      <c r="C63" s="138" t="inlineStr">
        <is>
          <t>W1/H系数：f值插值，0.9~0.6，f越大比值越小，控制爆破参数设计合理性。</t>
        </is>
      </c>
    </row>
    <row r="64" ht="23.15" customHeight="1">
      <c r="A64" s="136" t="inlineStr">
        <is>
          <t>底盘抵抗线W1(m)</t>
        </is>
      </c>
      <c r="B64" s="155">
        <f>IF(OR(B3="不适用",B3="请选择工艺"),0,MIN(VLOOKUP(B44,'基础核心-参数库'!$G$89:$H$94,2,0)*B63,35*B44/1000))</f>
        <v/>
      </c>
      <c r="C64" s="139" t="inlineStr">
        <is>
          <t>底盘抵抗线W1 = MIN(孔径×系数, 孔深÷3)</t>
        </is>
      </c>
    </row>
    <row r="65" ht="37.3" customHeight="1">
      <c r="A65" s="136" t="inlineStr">
        <is>
          <t>台阶爆破超深控制系数</t>
        </is>
      </c>
      <c r="B65" s="155">
        <f>IF(OR(B3="不适用",B3="请选择工艺"),0,IFERROR(IF('成本汇总-测算主表'!$B$5&lt;='基础核心-参数库'!$D$13,INDEX('基础核心-参数库'!$L$13:$L$22,1),IF('成本汇总-测算主表'!$B$5&gt;='基础核心-参数库'!$D$22,INDEX('基础核心-参数库'!$L$13:$L$22,MATCH('基础核心-参数库'!$D$22,'基础核心-参数库'!$D$13:$D$22,0)),INDEX('基础核心-参数库'!$L$13:$L$22,MATCH('成本汇总-测算主表'!$B$5,'基础核心-参数库'!$D$13:$D$22,1))+('成本汇总-测算主表'!$B$5-INDEX('基础核心-参数库'!$D$13:$D$22,MATCH('成本汇总-测算主表'!$B$5,'基础核心-参数库'!$D$13:$D$22,1)))*(INDEX('基础核心-参数库'!$L$13:$L$22,MATCH('成本汇总-测算主表'!$B$5,'基础核心-参数库'!$D$13:$D$22,1)+1)-INDEX('基础核心-参数库'!$L$13:$L$22,MATCH('成本汇总-测算主表'!$B$5,'基础核心-参数库'!$D$13:$D$22,1)))/(INDEX('基础核心-参数库'!$D$13:$D$22,MATCH('成本汇总-测算主表'!$B$5,'基础核心-参数库'!$D$13:$D$22,1)+1)-INDEX('基础核心-参数库'!$D$13:$D$22,MATCH('成本汇总-测算主表'!$B$5,'基础核心-参数库'!$D$13:$D$22,1))))),0))</f>
        <v/>
      </c>
      <c r="C65" s="138" t="inlineStr">
        <is>
          <t>超深系数：f值插值，0.12~0.3，f越大超深越大，防止根底产生。</t>
        </is>
      </c>
    </row>
    <row r="66" ht="23.15" customHeight="1">
      <c r="A66" s="136" t="inlineStr">
        <is>
          <t>超深h(m)</t>
        </is>
      </c>
      <c r="B66" s="155">
        <f>IF(OR(B3="不适用",B3="请选择工艺"),0,MAX(0.15*B64,8*B44/1000))</f>
        <v/>
      </c>
      <c r="C66" s="139" t="inlineStr">
        <is>
          <t>超深h = MAX(0.15×底盘抵抗线, 8×孔径÷1000)</t>
        </is>
      </c>
    </row>
    <row r="67" ht="34.7" customHeight="1">
      <c r="A67" s="136" t="inlineStr">
        <is>
          <t>孔深L(m)</t>
        </is>
      </c>
      <c r="B67" s="155">
        <f>IF(OR(B3="不适用",B3="请选择工艺"),0,IF(B42=90,B40+B66,(B40+B66)/SIN(RADIANS(B42))))</f>
        <v/>
      </c>
      <c r="C67" s="139" t="inlineStr">
        <is>
          <t>孔深L = (台阶高+超深)÷sin(倾角)；垂直孔时=台阶高+超深</t>
        </is>
      </c>
    </row>
    <row r="68" ht="24.85" customHeight="1">
      <c r="A68" s="136" t="inlineStr">
        <is>
          <t>m值</t>
        </is>
      </c>
      <c r="B68" s="155">
        <f>IF(B43="矩形",1,IF(B43="梅花形",1.25,1.5))</f>
        <v/>
      </c>
      <c r="C68" s="138" t="inlineStr">
        <is>
          <t>布孔形式对孔距排距影响系数</t>
        </is>
      </c>
    </row>
    <row r="69" ht="23.15" customHeight="1">
      <c r="A69" s="136" t="inlineStr">
        <is>
          <t>孔距a(m)</t>
        </is>
      </c>
      <c r="B69" s="155">
        <f>IF(OR(B3="不适用",B3="请选择工艺"),0,B68*B64)</f>
        <v/>
      </c>
      <c r="C69" s="139" t="inlineStr">
        <is>
          <t>孔距a = m值 × 底盘抵抗线W1</t>
        </is>
      </c>
    </row>
    <row r="70" ht="23.15" customHeight="1">
      <c r="A70" s="136" t="inlineStr">
        <is>
          <t>排距b(m)</t>
        </is>
      </c>
      <c r="B70" s="155">
        <f>IF(OR(B3="不适用",B3="请选择工艺"),0,IF(B43="矩形",0.9*B64,0.87*B69))</f>
        <v/>
      </c>
      <c r="C70" s="139" t="inlineStr">
        <is>
          <t>排距b：矩形=0.9×W1，梅花/三角=0.87×孔距a</t>
        </is>
      </c>
    </row>
    <row r="71" ht="23.15" customHeight="1">
      <c r="A71" s="136" t="inlineStr">
        <is>
          <t>每米爆破方量(m³/m)</t>
        </is>
      </c>
      <c r="B71" s="155">
        <f>IF(OR(B3="不适用",B3="请选择工艺"),0,B69*B70)</f>
        <v/>
      </c>
      <c r="C71" s="139" t="inlineStr">
        <is>
          <t>每米爆破方量 = 孔距 × 排距</t>
        </is>
      </c>
    </row>
    <row r="72" ht="23.9" customHeight="1">
      <c r="A72" s="141" t="inlineStr">
        <is>
          <t>每孔负担体积(m³)</t>
        </is>
      </c>
      <c r="B72" s="156">
        <f>IF(OR(B3="不适用",B3="请选择工艺"),0,B69*B70*B40)</f>
        <v/>
      </c>
      <c r="C72" s="143" t="inlineStr">
        <is>
          <t>每孔负担体积 = 孔距 × 排距 × 台阶高</t>
        </is>
      </c>
    </row>
    <row r="73" ht="14.85" customHeight="1">
      <c r="A73" s="148" t="n"/>
      <c r="B73" s="148" t="n"/>
      <c r="C73" s="149" t="n"/>
    </row>
    <row r="74" ht="30" customHeight="1">
      <c r="A74" s="135" t="inlineStr">
        <is>
          <t>--- 台班钻孔工程量计算 ---</t>
        </is>
      </c>
      <c r="B74" s="217" t="n"/>
      <c r="C74" s="218" t="n"/>
    </row>
    <row r="75" ht="24.85" customHeight="1">
      <c r="A75" s="136" t="inlineStr">
        <is>
          <t>岩石硬度钻孔速度系数</t>
        </is>
      </c>
      <c r="B75" s="155">
        <f>IF(OR(B3="不适用",B3="请选择工艺"),0,IFERROR(IF('成本汇总-测算主表'!$B$5&lt;='基础核心-参数库'!$D$13,INDEX('基础核心-参数库'!$E$13:$E$22,1),IF('成本汇总-测算主表'!$B$5&gt;='基础核心-参数库'!$D$22,INDEX('基础核心-参数库'!$E$13:$E$22,MATCH('基础核心-参数库'!$D$22,'基础核心-参数库'!$D$13:$D$22,0)),INDEX('基础核心-参数库'!$E$13:$E$22,MATCH('成本汇总-测算主表'!$B$5,'基础核心-参数库'!$D$13:$D$22,1))+('成本汇总-测算主表'!$B$5-INDEX('基础核心-参数库'!$D$13:$D$22,MATCH('成本汇总-测算主表'!$B$5,'基础核心-参数库'!$D$13:$D$22,1)))*(INDEX('基础核心-参数库'!$E$13:$E$22,MATCH('成本汇总-测算主表'!$B$5,'基础核心-参数库'!$D$13:$D$22,1)+1)-INDEX('基础核心-参数库'!$E$13:$E$22,MATCH('成本汇总-测算主表'!$B$5,'基础核心-参数库'!$D$13:$D$22,1)))/(INDEX('基础核心-参数库'!$D$13:$D$22,MATCH('成本汇总-测算主表'!$B$5,'基础核心-参数库'!$D$13:$D$22,1)+1)-INDEX('基础核心-参数库'!$D$13:$D$22,MATCH('成本汇总-测算主表'!$B$5,'基础核心-参数库'!$D$13:$D$22,1))))),0))</f>
        <v/>
      </c>
      <c r="C75" s="138" t="inlineStr">
        <is>
          <t>钻速系数：f值插值，2.5~0.42，f越大钻速越慢。计算钻孔台班进尺的核心参数。</t>
        </is>
      </c>
    </row>
    <row r="76" ht="24.85" customHeight="1">
      <c r="A76" s="136" t="inlineStr">
        <is>
          <t>钻机型号孔径匹配修正系数</t>
        </is>
      </c>
      <c r="B76" s="155">
        <f>IF(OR(B3="不适用",B3="请选择工艺"),1,IFERROR(INDEX('基础核心-参数库'!$L$63:$L$84,MATCH(1,INDEX(('基础核心-参数库'!$A$63:$A$84=B45)*('基础核心-参数库'!$B$63:$B$84=B44),0),0)),1))</f>
        <v/>
      </c>
      <c r="C76" s="138" t="inlineStr">
        <is>
          <t>孔径修正：按钻机型号和孔径查表，修正实际钻速</t>
        </is>
      </c>
    </row>
    <row r="77" ht="23.15" customHeight="1">
      <c r="A77" s="136" t="inlineStr">
        <is>
          <t>钻机功率</t>
        </is>
      </c>
      <c r="B77" s="159">
        <f>IF(OR(B3="不适用",B3="请选择工艺"),168,IFERROR(VLOOKUP(B45,'基础核心-参数库'!$A$51:$E$58,5,0),168))</f>
        <v/>
      </c>
      <c r="C77" s="139" t="inlineStr">
        <is>
          <t>钻机月有效台班(基准168) = 按代号查参数库</t>
        </is>
      </c>
    </row>
    <row r="78" ht="34.7" customHeight="1">
      <c r="A78" s="136" t="inlineStr">
        <is>
          <t>纯钻速(m/min)</t>
        </is>
      </c>
      <c r="B78" s="155">
        <f>IF(OR(B3="不适用",B3="请选择工艺"),0,IFERROR(0.8*B75*B76*(B77/168),0))</f>
        <v/>
      </c>
      <c r="C78" s="139" t="inlineStr">
        <is>
          <t>钻机时间利用率 = 0.8×钻速×有效系数×(月台班÷168)</t>
        </is>
      </c>
    </row>
    <row r="79" ht="34.7" customHeight="1">
      <c r="A79" s="136" t="inlineStr">
        <is>
          <t>接杆数</t>
        </is>
      </c>
      <c r="B79" s="159">
        <f>IF(OR(B3="不适用",B3="请选择工艺"),0,MAX(ROUNDUP(B67/3,0)-1,0))</f>
        <v/>
      </c>
      <c r="C79" s="139" t="inlineStr">
        <is>
          <t>接杆数 = ROUNDUP(孔深÷3) - 1（每段3m，首段不接杆）</t>
        </is>
      </c>
    </row>
    <row r="80">
      <c r="A80" s="136" t="inlineStr">
        <is>
          <t>换杆方式</t>
        </is>
      </c>
      <c r="B80" s="152">
        <f>IF(OR(B3="不适用",B3="请选择工艺"),"自动",IFERROR(VLOOKUP(B45,'基础核心-参数库'!$A$51:$F$58,6,0),"自动"))</f>
        <v/>
      </c>
      <c r="C80" s="139" t="inlineStr">
        <is>
          <t>换杆方式：钻机表 F$51 查</t>
        </is>
      </c>
    </row>
    <row r="81" ht="34.7" customHeight="1">
      <c r="A81" s="136" t="inlineStr">
        <is>
          <t>接杆总时间(min)</t>
        </is>
      </c>
      <c r="B81" s="155">
        <f>IF(B80="自动",B79*'基础核心-参数库'!$F$98,B79*'基础核心-参数库'!$G$98)</f>
        <v/>
      </c>
      <c r="C81" s="139" t="inlineStr">
        <is>
          <t>接杆总时间 = 接杆数 × 单次接杆时间（自动/人工换杆参数库 F98/G98）</t>
        </is>
      </c>
    </row>
    <row r="82" ht="34.7" customHeight="1">
      <c r="A82" s="136" t="inlineStr">
        <is>
          <t>卸杆总时间(min)</t>
        </is>
      </c>
      <c r="B82" s="155">
        <f>IF(B80="自动",B79*'基础核心-参数库'!$F$99,B79*'基础核心-参数库'!$G$99)</f>
        <v/>
      </c>
      <c r="C82" s="139" t="inlineStr">
        <is>
          <t>卸杆总时间 = 接杆数 × 单次卸杆时间（参数库 F99/G99）</t>
        </is>
      </c>
    </row>
    <row r="83" ht="23.15" customHeight="1">
      <c r="A83" s="136" t="inlineStr">
        <is>
          <t>辅助时间基础(min)</t>
        </is>
      </c>
      <c r="B83" s="155">
        <f>B81+B82+'基础核心-参数库'!$F$100+'基础核心-参数库'!$F$101</f>
        <v/>
      </c>
      <c r="C83" s="139" t="inlineStr">
        <is>
          <t>辅助时间基础 = 接杆+卸杆+移位(F100)+清孔(F101)</t>
        </is>
      </c>
    </row>
    <row r="84" ht="49.7" customHeight="1">
      <c r="A84" s="136" t="inlineStr">
        <is>
          <t>钻孔深度效率修正系数</t>
        </is>
      </c>
      <c r="B84" s="155">
        <f>1+MAX(0,B67-10)/10*0.05</f>
        <v/>
      </c>
      <c r="C84" s="138" t="inlineStr">
        <is>
          <t>孔深&gt;10m时每超1m，效率-0.5%
公式：1 + MAX(0, 孔深-10)/10 × 0.05</t>
        </is>
      </c>
    </row>
    <row r="85" ht="23.15" customHeight="1">
      <c r="A85" s="136" t="inlineStr">
        <is>
          <t>辅助时间(min)</t>
        </is>
      </c>
      <c r="B85" s="155">
        <f>B83*B84</f>
        <v/>
      </c>
      <c r="C85" s="139" t="inlineStr">
        <is>
          <t>实际辅助时间 = 辅助基础 × 深度系数(B84)</t>
        </is>
      </c>
    </row>
    <row r="86" ht="23.15" customHeight="1">
      <c r="A86" s="136" t="inlineStr">
        <is>
          <t>总时间/孔(min)</t>
        </is>
      </c>
      <c r="B86" s="155">
        <f>IFERROR(B67/B78+B85,0)</f>
        <v/>
      </c>
      <c r="C86" s="139" t="inlineStr">
        <is>
          <t>每孔钻孔时间(分) = 孔深÷钻速 × 深度系数</t>
        </is>
      </c>
    </row>
    <row r="87" ht="47.05" customHeight="1">
      <c r="A87" s="141" t="inlineStr">
        <is>
          <t>台班进尺(m)</t>
        </is>
      </c>
      <c r="B87" s="156">
        <f>IF(OR(B3="不适用",B3="请选择工艺"),0,'基础核心-参数库'!$Z$10*60*'基础核心-参数库'!$Z$15/B86*B67)</f>
        <v/>
      </c>
      <c r="C87" s="143" t="inlineStr">
        <is>
          <t>每台班钻孔米数 = 台班分钟【Z10×60=480】×钻机时间利用率【Z15=0.75】÷每孔时间×孔深</t>
        </is>
      </c>
    </row>
    <row r="88" ht="14.85" customHeight="1">
      <c r="A88" s="148" t="n"/>
      <c r="B88" s="148" t="n"/>
      <c r="C88" s="149" t="n"/>
    </row>
    <row r="89" ht="30" customHeight="1">
      <c r="A89" s="135" t="inlineStr">
        <is>
          <t>--- 单方钻孔成本计算 ---</t>
        </is>
      </c>
      <c r="B89" s="217" t="n"/>
      <c r="C89" s="218" t="n"/>
    </row>
    <row r="90">
      <c r="A90" s="136" t="inlineStr">
        <is>
          <t>钻机原值(万元)</t>
        </is>
      </c>
      <c r="B90" s="155">
        <f>IF(OR(B3="不适用",B3="请选择工艺"),0,IFERROR(VLOOKUP(B45,'基础核心-参数库'!$A$51:$K$58,11,0),0))</f>
        <v/>
      </c>
      <c r="C90" s="139" t="inlineStr">
        <is>
          <t>钻机原值(万元)：按代号查参数库 K$51</t>
        </is>
      </c>
    </row>
    <row r="91" ht="23.15" customHeight="1">
      <c r="A91" s="136" t="inlineStr">
        <is>
          <t>小时消耗</t>
        </is>
      </c>
      <c r="B91" s="155">
        <f>IF(OR(B3="不适用",B3="请选择工艺"),0,IFERROR(VLOOKUP(B45,'基础核心-参数库'!$A$51:$I$58,9,0),0))</f>
        <v/>
      </c>
      <c r="C91" s="139" t="inlineStr">
        <is>
          <t>钻机小时油耗：按代号查参数库 I$51</t>
        </is>
      </c>
    </row>
    <row r="92" ht="23.15" customHeight="1">
      <c r="A92" s="136" t="inlineStr">
        <is>
          <t>动力类型</t>
        </is>
      </c>
      <c r="B92" s="152">
        <f>IF(OR(B3="不适用",B3="请选择工艺"),"柴油",IFERROR(VLOOKUP(B45,'基础核心-参数库'!$A$51:$D$58,4,0),"柴油"))</f>
        <v/>
      </c>
      <c r="C92" s="139" t="inlineStr">
        <is>
          <t>钻机动力类型：参数库 D$51 查</t>
        </is>
      </c>
    </row>
    <row r="93" ht="34.7" customHeight="1">
      <c r="A93" s="136" t="inlineStr">
        <is>
          <t>机械效率</t>
        </is>
      </c>
      <c r="B93" s="155">
        <f>IF(B92="柴油",'基础核心-参数库'!$Z$11,'基础核心-参数库'!$Z$12)</f>
        <v/>
      </c>
      <c r="C93" s="139" t="inlineStr">
        <is>
          <t>钻机机械效率：柴油=【常量Z11=0.75】，电=【Z12=0.85】</t>
        </is>
      </c>
    </row>
    <row r="94" ht="46.3" customHeight="1">
      <c r="A94" s="136" t="inlineStr">
        <is>
          <t>折旧+维修费(元/台班)</t>
        </is>
      </c>
      <c r="B94" s="160">
        <f>(B90*10000*(1-IFERROR(VLOOKUP(B45,'基础核心-参数库'!$A$51:$M$58,13,0),0.05))/IFERROR(VLOOKUP(B45,'基础核心-参数库'!$A$51:$L$58,12,0),4000))*'基础核心-参数库'!$Z$5</f>
        <v/>
      </c>
      <c r="C94" s="139" t="inlineStr">
        <is>
          <t>钻机折旧维修=原值(K$51)×(1-残值率M$51)÷耐用台班(L$51)×系数【常量Z5=1.8】</t>
        </is>
      </c>
    </row>
    <row r="95" ht="34.7" customHeight="1">
      <c r="A95" s="136" t="inlineStr">
        <is>
          <t>能源费(元/台班)</t>
        </is>
      </c>
      <c r="B95" s="160">
        <f>IF(OR(B3="不适用",B3="请选择工艺"),0,B91*'基础核心-参数库'!$Z$10*IF(B92="柴油",'基础核心-参数库'!$B$3,'基础核心-参数库'!$B$4)/B93)</f>
        <v/>
      </c>
      <c r="C95" s="139" t="inlineStr">
        <is>
          <t>钻机能源=小时油耗×台班小时【Z10=8】×单价÷效率</t>
        </is>
      </c>
    </row>
    <row r="96" ht="23.15" customHeight="1">
      <c r="A96" s="136" t="inlineStr">
        <is>
          <t>保险费(元/台班)</t>
        </is>
      </c>
      <c r="B96" s="160">
        <f>IF(OR(B3="不适用",B3="请选择工艺"),0,B90*10000*'基础核心-参数库'!$B$19/'基础核心-参数库'!$B$18)</f>
        <v/>
      </c>
      <c r="C96" s="139" t="inlineStr">
        <is>
          <t>钻机保险 = 原值×保险率÷年台班</t>
        </is>
      </c>
    </row>
    <row r="97" ht="34.7" customHeight="1">
      <c r="A97" s="136" t="inlineStr">
        <is>
          <t>自有台班费(元)</t>
        </is>
      </c>
      <c r="B97" s="160">
        <f>IF(OR(B3="不适用",B3="请选择工艺"),0,B94+B95+B96+'基础核心-参数库'!$B$5)</f>
        <v/>
      </c>
      <c r="C97" s="139" t="inlineStr">
        <is>
          <t>钻机自有台班费 = 折旧维修(B94)+能源(B95)+保险(B96)+机手(B5=300)</t>
        </is>
      </c>
    </row>
    <row r="98" ht="23.15" customHeight="1">
      <c r="A98" s="136" t="inlineStr">
        <is>
          <t>租赁台班费(元)</t>
        </is>
      </c>
      <c r="B98" s="160">
        <f>IF(OR(B3="不适用",B3="请选择工艺"),0,MAX(IFERROR(VLOOKUP(B45,'基础核心-参数库'!$A$51:$N$58,14,0),0),B97*1.05))</f>
        <v/>
      </c>
      <c r="C98" s="139" t="inlineStr">
        <is>
          <t>钻机租赁台班费 = MAX(参数库 N$51 查, 自有费 B97 × 1.05) ←v10兜底防倒挂</t>
        </is>
      </c>
    </row>
    <row r="99" ht="34.7" customHeight="1">
      <c r="A99" s="136" t="inlineStr">
        <is>
          <t>台班费(元)</t>
        </is>
      </c>
      <c r="B99" s="160">
        <f>IF(OR(B3="不适用",B3="请选择工艺"),0,IF(B46="自有",B97,B98))</f>
        <v/>
      </c>
      <c r="C99" s="139" t="inlineStr">
        <is>
          <t>钻机台班费 = 自有(B97) 或 租赁(B98)，按钻机来源(B46)取</t>
        </is>
      </c>
    </row>
    <row r="100" ht="23.15" customHeight="1">
      <c r="A100" s="136" t="inlineStr">
        <is>
          <t>钻孔费(元/m)</t>
        </is>
      </c>
      <c r="B100" s="160">
        <f>IF(OR(B3="不适用",B3="请选择工艺"),0,IFERROR(B99/B87,0))</f>
        <v/>
      </c>
      <c r="C100" s="139" t="inlineStr">
        <is>
          <t>钻孔费(元/m) = 台班费 ÷ 每台班钻孔米数(B87)</t>
        </is>
      </c>
    </row>
    <row r="101" ht="46.3" customHeight="1">
      <c r="A101" s="136" t="inlineStr">
        <is>
          <t>耗材费(元/m)</t>
        </is>
      </c>
      <c r="B101" s="160">
        <f>0</f>
        <v/>
      </c>
      <c r="C101" s="139" t="inlineStr">
        <is>
          <t>耗材费(元/m)：钻头/钻杆磨耗未单独建模，按0处理（已含在折旧维修系数1.8里）</t>
        </is>
      </c>
    </row>
    <row r="102" ht="23.15" customHeight="1">
      <c r="A102" s="136" t="inlineStr">
        <is>
          <t>钻孔综合费(元/m)</t>
        </is>
      </c>
      <c r="B102" s="160">
        <f>B100+B101</f>
        <v/>
      </c>
      <c r="C102" s="139" t="inlineStr">
        <is>
          <t>钻机每米成本 = 钻机台班费÷每台班钻孔米数</t>
        </is>
      </c>
    </row>
    <row r="103" ht="23.9" customHeight="1">
      <c r="A103" s="141" t="inlineStr">
        <is>
          <t>爆破钻孔费(元/方)</t>
        </is>
      </c>
      <c r="B103" s="161">
        <f>IF(OR(B3="不适用",B3="请选择工艺"),0,IFERROR(B102/B71,0))</f>
        <v/>
      </c>
      <c r="C103" s="143" t="inlineStr">
        <is>
          <t>钻机摊销到方量 = 每米成本 × 孔深 ÷ 每孔体积</t>
        </is>
      </c>
    </row>
    <row r="123">
      <c r="A123" s="148" t="n"/>
      <c r="B123" s="148" t="n"/>
    </row>
    <row r="124">
      <c r="A124" s="148" t="n"/>
      <c r="B124" s="148" t="n"/>
    </row>
  </sheetData>
  <mergeCells count="8">
    <mergeCell ref="A19:C19"/>
    <mergeCell ref="A1:C1"/>
    <mergeCell ref="A89:C89"/>
    <mergeCell ref="A74:C74"/>
    <mergeCell ref="A62:C62"/>
    <mergeCell ref="A39:C39"/>
    <mergeCell ref="A4:C4"/>
    <mergeCell ref="A51:C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7.7117117117117" customWidth="1" min="1" max="1"/>
    <col width="11.7117117117117" customWidth="1" min="2" max="2"/>
    <col width="49.1441441441441" customWidth="1" min="3" max="3"/>
    <col width="9" customWidth="1" min="4" max="4"/>
  </cols>
  <sheetData>
    <row r="1" ht="19.5" customHeight="1">
      <c r="A1" s="128" t="inlineStr">
        <is>
          <t>开挖装车成本计算明细表</t>
        </is>
      </c>
    </row>
    <row r="2" ht="20.25" customHeight="1">
      <c r="A2" s="162" t="inlineStr">
        <is>
          <t>开挖费(元/实方)</t>
        </is>
      </c>
      <c r="B2" s="163">
        <f>IFERROR(B35/B23,0)</f>
        <v/>
      </c>
      <c r="C2" s="164" t="inlineStr">
        <is>
          <t>挖机台班费÷台班产量实方</t>
        </is>
      </c>
    </row>
    <row r="3" ht="20.25" customHeight="1">
      <c r="A3" s="165" t="inlineStr">
        <is>
          <t>工艺判断</t>
        </is>
      </c>
      <c r="B3" s="166">
        <f>IF(ISBLANK('成本汇总-测算主表'!$B$12),"请选择工艺",'成本汇总-测算主表'!$B$12)</f>
        <v/>
      </c>
      <c r="C3" s="167" t="inlineStr">
        <is>
          <t>工艺类型：从主表B12读取</t>
        </is>
      </c>
    </row>
    <row r="4" ht="20.25" customHeight="1">
      <c r="A4" s="168" t="n"/>
      <c r="B4" s="169" t="n"/>
      <c r="C4" s="168" t="n"/>
    </row>
    <row r="5" ht="20.25" customHeight="1">
      <c r="A5" s="170" t="inlineStr">
        <is>
          <t>--- 基本参数 ---</t>
        </is>
      </c>
      <c r="B5" s="217" t="n"/>
      <c r="C5" s="218" t="n"/>
    </row>
    <row r="6" ht="20.25" customHeight="1">
      <c r="A6" s="171" t="inlineStr">
        <is>
          <t>f值</t>
        </is>
      </c>
      <c r="B6" s="172">
        <f>'成本汇总-测算主表'!$B$5</f>
        <v/>
      </c>
      <c r="C6" s="173" t="inlineStr">
        <is>
          <t>f值：从主表B5读取</t>
        </is>
      </c>
    </row>
    <row r="7" ht="20.25" customHeight="1">
      <c r="A7" s="171" t="inlineStr">
        <is>
          <t>松散系数</t>
        </is>
      </c>
      <c r="B7" s="174">
        <f>'成本汇总-测算主表'!$B$7</f>
        <v/>
      </c>
      <c r="C7" s="173" t="inlineStr">
        <is>
          <t>松散系数：直接引用主表B7（保证手动覆盖时联动）</t>
        </is>
      </c>
    </row>
    <row r="8" ht="20.25" customHeight="1">
      <c r="A8" s="171" t="inlineStr">
        <is>
          <t>挖机代号</t>
        </is>
      </c>
      <c r="B8" s="172">
        <f>'成本汇总-测算主表'!$B$17</f>
        <v/>
      </c>
      <c r="C8" s="173" t="inlineStr">
        <is>
          <t>挖机代号：从主表B17读取</t>
        </is>
      </c>
    </row>
    <row r="9" ht="20.25" customHeight="1">
      <c r="A9" s="171" t="inlineStr">
        <is>
          <t>挖机来源</t>
        </is>
      </c>
      <c r="B9" s="172">
        <f>'成本汇总-测算主表'!$B$18</f>
        <v/>
      </c>
      <c r="C9" s="173" t="inlineStr">
        <is>
          <t>挖机来源：从主表B18读取</t>
        </is>
      </c>
    </row>
    <row r="10" ht="20.25" customHeight="1">
      <c r="A10" s="171" t="inlineStr">
        <is>
          <t>斗容(m³)</t>
        </is>
      </c>
      <c r="B10" s="174">
        <f>IFERROR(VLOOKUP(B8,'基础核心-参数库'!$A$26:$D$36,4,0),2)</f>
        <v/>
      </c>
      <c r="C10" s="173" t="inlineStr">
        <is>
          <t>斗容(m³)：按代号从参数库 D$26 查</t>
        </is>
      </c>
    </row>
    <row r="11" ht="23.15" customHeight="1">
      <c r="A11" s="171" t="inlineStr">
        <is>
          <t>工作重量(t)</t>
        </is>
      </c>
      <c r="B11" s="174">
        <f>IFERROR(VLOOKUP(B8,'基础核心-参数库'!$A$26:$E$36,5,0),20)</f>
        <v/>
      </c>
      <c r="C11" s="173" t="inlineStr">
        <is>
          <t>工作重量(t)：按代号查参数库 E$26（影响保险/吨油耗类间接核算）</t>
        </is>
      </c>
    </row>
    <row r="12" ht="20.25" customHeight="1">
      <c r="A12" s="171" t="inlineStr">
        <is>
          <t>动力类型</t>
        </is>
      </c>
      <c r="B12" s="172">
        <f>IFERROR(VLOOKUP(B8,'基础核心-参数库'!$A$26:$F$36,6,0),"柴油")</f>
        <v/>
      </c>
      <c r="C12" s="173" t="inlineStr">
        <is>
          <t>动力类型：参数库 F$26 查</t>
        </is>
      </c>
    </row>
    <row r="13" ht="20.25" customHeight="1">
      <c r="A13" s="171" t="inlineStr">
        <is>
          <t>小时消耗</t>
        </is>
      </c>
      <c r="B13" s="174">
        <f>IFERROR(VLOOKUP(B8,'基础核心-参数库'!$A$26:$H$36,8,0),20)</f>
        <v/>
      </c>
      <c r="C13" s="173" t="inlineStr">
        <is>
          <t>小时油耗(L/h)或耗电(kWh/h)：按代号查参数库 H$26</t>
        </is>
      </c>
    </row>
    <row r="14">
      <c r="A14" s="171" t="inlineStr">
        <is>
          <t>机械效率</t>
        </is>
      </c>
      <c r="B14" s="174">
        <f>IF(B12="柴油",'基础核心-参数库'!$Z$11,'基础核心-参数库'!$Z$12)</f>
        <v/>
      </c>
      <c r="C14" s="173" t="inlineStr">
        <is>
          <t>机械效率：柴油=【常量Z11=0.75】，电=【Z12=0.85】</t>
        </is>
      </c>
    </row>
    <row r="15" ht="24.75" customHeight="1">
      <c r="A15" s="175" t="inlineStr">
        <is>
          <t>工艺类型装车效率系数</t>
        </is>
      </c>
      <c r="B15" s="174">
        <f>IF(B3="直接开挖",'基础核心-参数库'!$Z$18,'基础核心-参数库'!$Z$19)</f>
        <v/>
      </c>
      <c r="C15" s="176" t="inlineStr">
        <is>
          <t>装车效率：直接开挖【Z18=1.0】，爆破后岩石松散【Z19=1.4】</t>
        </is>
      </c>
    </row>
    <row r="16" ht="58.6" customHeight="1">
      <c r="A16" s="177" t="inlineStr">
        <is>
          <t>岩石硬度与挖掘循环时间修正系数</t>
        </is>
      </c>
      <c r="B16" s="178">
        <f>1+MAX(0,B6-5)*0.02</f>
        <v/>
      </c>
      <c r="C16" s="179" t="inlineStr">
        <is>
          <t>f=5（Ⅳ级中硬岩）是绝大多数露天矿山的典型工况。f≤5时，常规挖机可以正常高效作业，无需修正；f&gt;5时，岩石越硬，挖掘循环时间越长，需要修正。f每增加1，挖掘斗杆插入阻力增加约5~8%，但通过操作技巧（分层挖掘、慢速作业），实际效率下降约2%。</t>
        </is>
      </c>
    </row>
    <row r="17" ht="20.25" customHeight="1">
      <c r="C17" s="180" t="n"/>
    </row>
    <row r="18" ht="20.25" customHeight="1">
      <c r="A18" s="170" t="inlineStr">
        <is>
          <t>台班工程量计算</t>
        </is>
      </c>
      <c r="B18" s="217" t="n"/>
      <c r="C18" s="218" t="n"/>
    </row>
    <row r="19" ht="29.25" customHeight="1">
      <c r="A19" s="171" t="inlineStr">
        <is>
          <t>工艺类型满斗系数</t>
        </is>
      </c>
      <c r="B19" s="174">
        <f>IF(B3="直接开挖",'基础核心-参数库'!$Z$20,'基础核心-参数库'!$Z$21)</f>
        <v/>
      </c>
      <c r="C19" s="176" t="inlineStr">
        <is>
          <t>满斗系数：直接开挖【Z20=1.05】，爆破后块度均匀【Z21=1.10】</t>
        </is>
      </c>
    </row>
    <row r="20" ht="34.7" customHeight="1">
      <c r="A20" s="171" t="inlineStr">
        <is>
          <t>基准循环时间(秒)</t>
        </is>
      </c>
      <c r="B20" s="174">
        <f>IFERROR(4.158*LN(B11*1000)-25.058+MAX(0,(B11-30))*0.2,20)</f>
        <v/>
      </c>
      <c r="C20" s="173" t="inlineStr">
        <is>
          <t>装载循环时间(秒)=4.158×LN(工作重量×1000)-25.058 + MAX(0,工作重量-30)×0.2【30吨以上每吨加0.2秒，覆盖大机回转/对位时间】</t>
        </is>
      </c>
    </row>
    <row r="21" ht="23.15" customHeight="1">
      <c r="A21" s="171" t="inlineStr">
        <is>
          <t>循环时间(秒)</t>
        </is>
      </c>
      <c r="B21" s="174">
        <f>B20*B16*B15</f>
        <v/>
      </c>
      <c r="C21" s="173" t="inlineStr">
        <is>
          <t>工艺时间修正 = 装载循环时间(B20)×松散修正(B15)×f值修正(B16)</t>
        </is>
      </c>
    </row>
    <row r="22" ht="23.15" customHeight="1">
      <c r="A22" s="171" t="inlineStr">
        <is>
          <t>台班产量松方(m³)</t>
        </is>
      </c>
      <c r="B22" s="174">
        <f>B10*B19*(3600/B21)*'基础核心-参数库'!$Z$10*'基础核心-参数库'!$Z$14*'基础核心-参数库'!$B$21</f>
        <v/>
      </c>
      <c r="C22" s="173" t="inlineStr">
        <is>
          <t>台班产量(松方) = 斗容×满斗×(3600÷循环时间)×台班小时【Z10=8】×挖机时间利用率【Z14=0.80】×工作面折减</t>
        </is>
      </c>
    </row>
    <row r="23" ht="20.25" customHeight="1">
      <c r="A23" s="165" t="inlineStr">
        <is>
          <t>台班产量实方(m³)</t>
        </is>
      </c>
      <c r="B23" s="178">
        <f>B22/B7</f>
        <v/>
      </c>
      <c r="C23" s="167" t="inlineStr">
        <is>
          <t>台班产量(松方) = 实方 × 松散系数</t>
        </is>
      </c>
    </row>
    <row r="24" ht="20.25" customHeight="1">
      <c r="A24" s="168" t="n"/>
      <c r="B24" s="181" t="n"/>
      <c r="C24" s="168" t="n"/>
    </row>
    <row r="25" ht="20.25" customHeight="1">
      <c r="A25" s="170" t="inlineStr">
        <is>
          <t>台班总成本计算</t>
        </is>
      </c>
      <c r="B25" s="217" t="n"/>
      <c r="C25" s="218" t="n"/>
    </row>
    <row r="26" ht="20.25" customHeight="1">
      <c r="A26" s="171" t="inlineStr">
        <is>
          <t>原值(万元)</t>
        </is>
      </c>
      <c r="B26" s="174">
        <f>IFERROR(VLOOKUP(B8,'基础核心-参数库'!$A$26:$J$36,10,0),0)</f>
        <v/>
      </c>
      <c r="C26" s="173" t="inlineStr">
        <is>
          <t>原值(万元)：参数库 J$26 查</t>
        </is>
      </c>
    </row>
    <row r="27" ht="20.25" customHeight="1">
      <c r="A27" s="171" t="inlineStr">
        <is>
          <t>耐用台班</t>
        </is>
      </c>
      <c r="B27" s="174">
        <f>IFERROR(VLOOKUP(B8,'基础核心-参数库'!$A$26:$K$36,11,0),4000)</f>
        <v/>
      </c>
      <c r="C27" s="173" t="inlineStr">
        <is>
          <t>耐用台班：参数库 K$26 查 (=250×常量Z9=2500)</t>
        </is>
      </c>
    </row>
    <row r="28" ht="23.15" customHeight="1">
      <c r="A28" s="171" t="inlineStr">
        <is>
          <t>折旧+维修费(元/台班)</t>
        </is>
      </c>
      <c r="B28" s="174">
        <f>(B26*10000*(1-IFERROR(VLOOKUP(B8,'基础核心-参数库'!$A$26:$L$36,12,0),0.05))/B27)*'基础核心-参数库'!$Z$4</f>
        <v/>
      </c>
      <c r="C28" s="173" t="inlineStr">
        <is>
          <t>挖机折旧维修=原值(J$26)×(1-残值率L$26)÷耐用台班(K$26)×系数【常量Z4=1.6】</t>
        </is>
      </c>
    </row>
    <row r="29" ht="20.25" customHeight="1">
      <c r="A29" s="171" t="inlineStr">
        <is>
          <t>能源费(元/台班)</t>
        </is>
      </c>
      <c r="B29" s="174">
        <f>B13*'基础核心-参数库'!$Z$10*IF(B12="柴油",'基础核心-参数库'!$B$3,'基础核心-参数库'!$B$4)/B14</f>
        <v/>
      </c>
      <c r="C29" s="173" t="inlineStr">
        <is>
          <t>挖机能源=小时油耗×台班小时【Z10=8】×单价÷效率</t>
        </is>
      </c>
    </row>
    <row r="30" ht="20.25" customHeight="1">
      <c r="A30" s="171" t="inlineStr">
        <is>
          <t>保险费(元/台班)</t>
        </is>
      </c>
      <c r="B30" s="174">
        <f>B26*10000*'基础核心-参数库'!$B$19/'基础核心-参数库'!$B$18</f>
        <v/>
      </c>
      <c r="C30" s="173" t="inlineStr">
        <is>
          <t>挖机保险=原值×保险率÷年台班</t>
        </is>
      </c>
    </row>
    <row r="31" ht="20.25" customHeight="1">
      <c r="A31" s="171" t="inlineStr">
        <is>
          <t>人工费(元/台班)</t>
        </is>
      </c>
      <c r="B31" s="174">
        <f>'基础核心-参数库'!$B$5</f>
        <v/>
      </c>
      <c r="C31" s="173" t="inlineStr">
        <is>
          <t>挖机机手 = 参数库B5(=300元/工日)</t>
        </is>
      </c>
    </row>
    <row r="32" ht="23.15" customHeight="1">
      <c r="A32" s="171" t="inlineStr">
        <is>
          <t>斗齿耗材费(元/台班)</t>
        </is>
      </c>
      <c r="B32" s="174">
        <f>IFERROR(VLOOKUP(B8,'基础核心-参数库'!$A$26:$N$36,14,0)*8/VLOOKUP(B8,'基础核心-参数库'!$A$26:$O$36,15,0),0)</f>
        <v/>
      </c>
      <c r="C32" s="173" t="inlineStr">
        <is>
          <t>斗齿耗材费(元/台班) = 斗齿单价(N$26) × 台班小时【Z10=8】 ÷ 斗齿寿命(O$26,单位h)</t>
        </is>
      </c>
    </row>
    <row r="33" ht="20.25" customHeight="1">
      <c r="A33" s="171" t="inlineStr">
        <is>
          <t>自有台班费(元)</t>
        </is>
      </c>
      <c r="B33" s="174">
        <f>B28+B29+B30+B31+B32</f>
        <v/>
      </c>
      <c r="C33" s="173" t="inlineStr">
        <is>
          <t>挖机自有台班费 = 折旧+能源+保险+机手+辅助</t>
        </is>
      </c>
    </row>
    <row r="34" ht="20.25" customHeight="1">
      <c r="A34" s="171" t="inlineStr">
        <is>
          <t>租赁台班费(元)</t>
        </is>
      </c>
      <c r="B34" s="174">
        <f>MAX(IFERROR(VLOOKUP(B8,'基础核心-参数库'!$A$26:$M$36,13,0),0),B33*1.05)</f>
        <v/>
      </c>
      <c r="C34" s="173" t="inlineStr">
        <is>
          <t>挖机租赁台班费 = MAX(参数库 M$26 查, 自有费 B33 × 1.05) ←v10兜底防倒挂</t>
        </is>
      </c>
    </row>
    <row r="35" ht="20.25" customHeight="1">
      <c r="A35" s="165" t="inlineStr">
        <is>
          <t>台班费(元)</t>
        </is>
      </c>
      <c r="B35" s="178">
        <f>IF(B9="自有",B33,B34)</f>
        <v/>
      </c>
      <c r="C35" s="167" t="inlineStr">
        <is>
          <t>台班费 = 自有则取自有费，否则取租赁费</t>
        </is>
      </c>
    </row>
  </sheetData>
  <mergeCells count="4">
    <mergeCell ref="A1:C1"/>
    <mergeCell ref="A18:C18"/>
    <mergeCell ref="A25:C25"/>
    <mergeCell ref="A5:C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23.1441441441441" customWidth="1" min="1" max="1"/>
    <col width="14.5765765765766" customWidth="1" min="2" max="2"/>
    <col width="25" customWidth="1" min="3" max="3"/>
    <col width="33.1441441441441" customWidth="1" min="4" max="4"/>
    <col width="16.1441441441441" customWidth="1" min="5" max="5"/>
    <col width="18.8558558558559" customWidth="1" min="6" max="6"/>
    <col width="9" customWidth="1" min="7" max="7"/>
  </cols>
  <sheetData>
    <row r="1" ht="30" customHeight="1">
      <c r="A1" s="128" t="inlineStr">
        <is>
          <t>运输成本计算明细表</t>
        </is>
      </c>
    </row>
    <row r="2" ht="25.5" customHeight="1">
      <c r="A2" s="182" t="inlineStr">
        <is>
          <t>运输费(元/实方)</t>
        </is>
      </c>
      <c r="B2" s="183">
        <f>IF(AND(B23=0,B24=0),0,IFERROR(B74/B51,0))</f>
        <v/>
      </c>
      <c r="C2" s="184" t="inlineStr">
        <is>
          <t>台班费÷台班运输量（运距为0时运输费=0）</t>
        </is>
      </c>
    </row>
    <row r="3" ht="15" customHeight="1">
      <c r="A3" s="168" t="n"/>
      <c r="B3" s="185" t="n"/>
      <c r="C3" s="186" t="n"/>
    </row>
    <row r="4">
      <c r="A4" s="170" t="inlineStr">
        <is>
          <t>--- 基本参数汇集 ---</t>
        </is>
      </c>
      <c r="B4" s="217" t="n"/>
      <c r="C4" s="218" t="n"/>
    </row>
    <row r="5">
      <c r="A5" s="171" t="inlineStr">
        <is>
          <t>f值</t>
        </is>
      </c>
      <c r="B5" s="172">
        <f>'成本汇总-测算主表'!$B$5</f>
        <v/>
      </c>
      <c r="C5" s="173" t="inlineStr">
        <is>
          <t>f值：主表B5</t>
        </is>
      </c>
    </row>
    <row r="6">
      <c r="A6" s="171" t="inlineStr">
        <is>
          <t>实体容重(t/m³)</t>
        </is>
      </c>
      <c r="B6" s="172">
        <f>'成本汇总-测算主表'!$B$6</f>
        <v/>
      </c>
      <c r="C6" s="173" t="inlineStr">
        <is>
          <t>实体容重：主表B6</t>
        </is>
      </c>
    </row>
    <row r="7">
      <c r="A7" s="171" t="inlineStr">
        <is>
          <t>矿卡代号</t>
        </is>
      </c>
      <c r="B7" s="187">
        <f>'成本汇总-测算主表'!$B$23</f>
        <v/>
      </c>
      <c r="C7" s="173" t="inlineStr">
        <is>
          <t>矿卡代号：主表B23</t>
        </is>
      </c>
    </row>
    <row r="8">
      <c r="A8" s="171" t="inlineStr">
        <is>
          <t>矿卡来源</t>
        </is>
      </c>
      <c r="B8" s="187">
        <f>'成本汇总-测算主表'!$B$24</f>
        <v/>
      </c>
      <c r="C8" s="173" t="inlineStr">
        <is>
          <t>矿卡来源：主表B24</t>
        </is>
      </c>
    </row>
    <row r="9" ht="23.15" customHeight="1">
      <c r="A9" s="171" t="inlineStr">
        <is>
          <t>矿卡载重(t)</t>
        </is>
      </c>
      <c r="B9" s="188">
        <f>IFERROR(VLOOKUP(B7,'基础核心-参数库'!$A$40:$D$47,4,0),45)</f>
        <v/>
      </c>
      <c r="C9" s="173" t="inlineStr">
        <is>
          <t>矿卡载重(t)：参数库 D$40 按代号查</t>
        </is>
      </c>
    </row>
    <row r="10">
      <c r="A10" s="171" t="inlineStr">
        <is>
          <t>动力类型</t>
        </is>
      </c>
      <c r="B10" s="187">
        <f>IFERROR(VLOOKUP(B7,'基础核心-参数库'!$A$40:$E$47,5,0),"柴油")</f>
        <v/>
      </c>
      <c r="C10" s="173" t="inlineStr">
        <is>
          <t>动力类型：参数库 E$40 查</t>
        </is>
      </c>
    </row>
    <row r="11" ht="23.15" customHeight="1">
      <c r="A11" s="171" t="inlineStr">
        <is>
          <t>空载消耗(L/km或kWh/km)</t>
        </is>
      </c>
      <c r="B11" s="174">
        <f>IFERROR(VLOOKUP(B7,'基础核心-参数库'!$A$40:$G$47,7,0),0.25)</f>
        <v/>
      </c>
      <c r="C11" s="173" t="inlineStr">
        <is>
          <t>空载油耗/电耗：参数库 G$40 查</t>
        </is>
      </c>
    </row>
    <row r="12" ht="24.85" customHeight="1">
      <c r="A12" s="175" t="inlineStr">
        <is>
          <t>重载上坡消耗(L/km或kWh/km)</t>
        </is>
      </c>
      <c r="B12" s="174">
        <f>IFERROR(VLOOKUP(B7,'基础核心-参数库'!$A$40:$H$47,8,0),0.55)</f>
        <v/>
      </c>
      <c r="C12" s="173" t="inlineStr">
        <is>
          <t>重载上坡油耗/电耗：参数库 H$40 查</t>
        </is>
      </c>
    </row>
    <row r="13" ht="23.15" customHeight="1">
      <c r="A13" s="171" t="inlineStr">
        <is>
          <t>重载下坡消耗(L/km或kWh/km)</t>
        </is>
      </c>
      <c r="B13" s="174">
        <f>IFERROR(VLOOKUP(B7,'基础核心-参数库'!$A$40:$I$47,9,0),0.55)</f>
        <v/>
      </c>
      <c r="C13" s="173" t="inlineStr">
        <is>
          <t>重载下坡油耗/电耗：按代号查参数库 I$40</t>
        </is>
      </c>
    </row>
    <row r="14">
      <c r="A14" s="171" t="inlineStr">
        <is>
          <t>空车速度(km/h)</t>
        </is>
      </c>
      <c r="B14" s="174">
        <f>IFERROR(VLOOKUP(B7,'基础核心-参数库'!$A$40:$O$47,15,0),30)</f>
        <v/>
      </c>
      <c r="C14" s="173" t="inlineStr">
        <is>
          <t>空车速度：参数库 O$40 查</t>
        </is>
      </c>
    </row>
    <row r="15">
      <c r="A15" s="171" t="inlineStr">
        <is>
          <t>重车速度(km/h)</t>
        </is>
      </c>
      <c r="B15" s="174">
        <f>IFERROR(VLOOKUP(B7,'基础核心-参数库'!$A$40:$P$47,16,0),20)</f>
        <v/>
      </c>
      <c r="C15" s="173" t="inlineStr">
        <is>
          <t>重车速度：参数库 P$40 查</t>
        </is>
      </c>
    </row>
    <row r="16">
      <c r="A16" s="171" t="inlineStr">
        <is>
          <t>卸车时间(min)</t>
        </is>
      </c>
      <c r="B16" s="174">
        <f>IFERROR(VLOOKUP(B7,'基础核心-参数库'!$A$40:$Q$47,17,0),1.5)</f>
        <v/>
      </c>
      <c r="C16" s="173" t="inlineStr">
        <is>
          <t>卸车时间：参数库 Q$40 查</t>
        </is>
      </c>
    </row>
    <row r="17" ht="23.15" customHeight="1">
      <c r="A17" s="171" t="inlineStr">
        <is>
          <t>机械效率</t>
        </is>
      </c>
      <c r="B17" s="174">
        <f>IF(B10="柴油",'基础核心-参数库'!$Z$11,'基础核心-参数库'!$Z$12)</f>
        <v/>
      </c>
      <c r="C17" s="173" t="inlineStr">
        <is>
          <t>机械效率：柴油=【常量Z11=0.75】，电=【Z12=0.85】</t>
        </is>
      </c>
    </row>
    <row r="18">
      <c r="A18" s="171" t="inlineStr">
        <is>
          <t>每车实方(m³)</t>
        </is>
      </c>
      <c r="B18" s="174">
        <f>IFERROR(B9/'成本汇总-测算主表'!$B$6,0)</f>
        <v/>
      </c>
      <c r="C18" s="173" t="inlineStr">
        <is>
          <t>车辆载重除以实体容重</t>
        </is>
      </c>
    </row>
    <row r="19" ht="23.15" customHeight="1">
      <c r="A19" s="171" t="inlineStr">
        <is>
          <t>挖机松方产量(m³/台班)</t>
        </is>
      </c>
      <c r="B19" s="174">
        <f>'计算明细表-挖装成本'!$B$22</f>
        <v/>
      </c>
      <c r="C19" s="173" t="inlineStr">
        <is>
          <t>挖机松方台班产量：从挖装表 B22 取</t>
        </is>
      </c>
    </row>
    <row r="20" ht="35.45" customHeight="1">
      <c r="A20" s="165" t="inlineStr">
        <is>
          <t>装车时间(min)</t>
        </is>
      </c>
      <c r="B20" s="178">
        <f>ROUNDUP(B18*'计算明细表-挖装成本'!$B$7/('计算明细表-挖装成本'!$B$10*'计算明细表-挖装成本'!$B$19),0)*'计算明细表-挖装成本'!$B$21/60</f>
        <v/>
      </c>
      <c r="C20" s="167" t="inlineStr">
        <is>
          <t>装车时间(min) = 每车实方×松散系数÷(挖机实方/秒×装满系数)×循环时间÷60</t>
        </is>
      </c>
    </row>
    <row r="21" ht="15" customHeight="1">
      <c r="A21" s="168" t="n"/>
      <c r="B21" s="185" t="n"/>
      <c r="C21" s="186" t="n"/>
    </row>
    <row r="22">
      <c r="A22" s="170" t="inlineStr">
        <is>
          <t>--- 运距参数汇集 ---</t>
        </is>
      </c>
      <c r="B22" s="217" t="n"/>
      <c r="C22" s="218" t="n"/>
    </row>
    <row r="23">
      <c r="A23" s="171" t="inlineStr">
        <is>
          <t>场内距离(km)</t>
        </is>
      </c>
      <c r="B23" s="174">
        <f>'成本汇总-测算主表'!$B$34</f>
        <v/>
      </c>
      <c r="C23" s="173" t="inlineStr">
        <is>
          <t>场内距离：主表B34</t>
        </is>
      </c>
    </row>
    <row r="24">
      <c r="A24" s="171" t="inlineStr">
        <is>
          <t>场外距离(km)</t>
        </is>
      </c>
      <c r="B24" s="174">
        <f>'成本汇总-测算主表'!$B$35</f>
        <v/>
      </c>
      <c r="C24" s="173" t="inlineStr">
        <is>
          <t>场外距离：主表B35</t>
        </is>
      </c>
    </row>
    <row r="25">
      <c r="A25" s="171" t="inlineStr">
        <is>
          <t>场内重车方向</t>
        </is>
      </c>
      <c r="B25" s="187">
        <f>'成本汇总-测算主表'!$B$37</f>
        <v/>
      </c>
      <c r="C25" s="173" t="inlineStr">
        <is>
          <t>场内重车方向：主表B37</t>
        </is>
      </c>
    </row>
    <row r="26">
      <c r="A26" s="171" t="inlineStr">
        <is>
          <t>场内坡度(%)</t>
        </is>
      </c>
      <c r="B26" s="174">
        <f>'成本汇总-测算主表'!$B$38</f>
        <v/>
      </c>
      <c r="C26" s="173" t="inlineStr">
        <is>
          <t>场内坡度：主表B38</t>
        </is>
      </c>
    </row>
    <row r="27">
      <c r="A27" s="171" t="inlineStr">
        <is>
          <t>场外重车方向</t>
        </is>
      </c>
      <c r="B27" s="187">
        <f>'成本汇总-测算主表'!$B$39</f>
        <v/>
      </c>
      <c r="C27" s="173" t="inlineStr">
        <is>
          <t>场外重车方向：主表B39</t>
        </is>
      </c>
    </row>
    <row r="28">
      <c r="A28" s="171" t="inlineStr">
        <is>
          <t>场外坡度(%)</t>
        </is>
      </c>
      <c r="B28" s="174">
        <f>'成本汇总-测算主表'!$B$40</f>
        <v/>
      </c>
      <c r="C28" s="173" t="inlineStr">
        <is>
          <t>场外坡度：主表B40</t>
        </is>
      </c>
    </row>
    <row r="29">
      <c r="A29" s="171" t="inlineStr">
        <is>
          <t>场内空车方向</t>
        </is>
      </c>
      <c r="B29" s="187">
        <f>IF(B25="上坡","下坡",IF(B25="下坡","上坡","平路"))</f>
        <v/>
      </c>
      <c r="C29" s="173" t="inlineStr">
        <is>
          <t>场内空车方向：与重车方向相反</t>
        </is>
      </c>
    </row>
    <row r="30" ht="14.85" customHeight="1">
      <c r="A30" s="165" t="inlineStr">
        <is>
          <t>场外空车方向</t>
        </is>
      </c>
      <c r="B30" s="166">
        <f>IF(B27="上坡","下坡",IF(B27="下坡","上坡","平路"))</f>
        <v/>
      </c>
      <c r="C30" s="167" t="inlineStr">
        <is>
          <t>场外空车方向：与重车方向相反</t>
        </is>
      </c>
    </row>
    <row r="31" ht="15" customHeight="1">
      <c r="A31" s="168" t="n"/>
      <c r="B31" s="185" t="n"/>
      <c r="C31" s="186" t="n"/>
    </row>
    <row r="32">
      <c r="A32" s="170" t="inlineStr">
        <is>
          <t>--- 速度修正系数 ---</t>
        </is>
      </c>
      <c r="B32" s="217" t="n"/>
      <c r="C32" s="218" t="n"/>
    </row>
    <row r="33">
      <c r="A33" s="189" t="inlineStr">
        <is>
          <t>场内系数</t>
        </is>
      </c>
      <c r="B33" s="190" t="n"/>
      <c r="C33" s="191" t="n"/>
    </row>
    <row r="34" ht="23.15" customHeight="1">
      <c r="A34" s="171" t="inlineStr">
        <is>
          <t>场内重车速度系数</t>
        </is>
      </c>
      <c r="B34" s="190">
        <f>MAX(IFERROR(SUMIFS('基础核心-参数库'!$V$40:$V$44,'基础核心-参数库'!$R$40:$R$44,B25,'基础核心-参数库'!$S$40:$S$44,"&lt;="&amp;B26,'基础核心-参数库'!$T$40:$T$44,"&gt;"&amp;B26),0),IF(B25="平路",1,IF(B25="上坡",0.75,0.9)))</f>
        <v/>
      </c>
      <c r="C34" s="173" t="inlineStr">
        <is>
          <t>场内重车速度系数：SUMIFS按方向+坡度区间查 V$40:V$44</t>
        </is>
      </c>
    </row>
    <row r="35" ht="23.15" customHeight="1">
      <c r="A35" s="171" t="inlineStr">
        <is>
          <t>场内空车速度系数</t>
        </is>
      </c>
      <c r="B35" s="190">
        <f>MAX(IFERROR(SUMIFS('基础核心-参数库'!$U$40:$U$44,'基础核心-参数库'!$R$40:$R$44,B29,'基础核心-参数库'!$S$40:$S$44,"&lt;="&amp;B26,'基础核心-参数库'!$T$40:$T$44,"&gt;"&amp;B26),0),IF(B29="平路",1,IF(B29="上坡",0.85,1.05)))</f>
        <v/>
      </c>
      <c r="C35" s="173" t="inlineStr">
        <is>
          <t>场内空车速度系数：SUMIFS查 U$40:U$44</t>
        </is>
      </c>
    </row>
    <row r="36">
      <c r="A36" s="171" t="inlineStr">
        <is>
          <t>场外重车速度系数</t>
        </is>
      </c>
      <c r="B36" s="190">
        <f>MAX(IFERROR(SUMIFS('基础核心-参数库'!$V$40:$V$44,'基础核心-参数库'!$R$40:$R$44,B27,'基础核心-参数库'!$S$40:$S$44,"&lt;="&amp;B28,'基础核心-参数库'!$T$40:$T$44,"&gt;"&amp;B28),0),IF(B27="平路",1,IF(B27="上坡",0.75,0.9)))</f>
        <v/>
      </c>
      <c r="C36" s="173" t="inlineStr">
        <is>
          <t>场外重车速度系数：同上查 V列</t>
        </is>
      </c>
    </row>
    <row r="37">
      <c r="A37" s="171" t="inlineStr">
        <is>
          <t>场外空车速度系数</t>
        </is>
      </c>
      <c r="B37" s="190">
        <f>MAX(IFERROR(SUMIFS('基础核心-参数库'!$U$40:$U$44,'基础核心-参数库'!$R$40:$R$44,B30,'基础核心-参数库'!$S$40:$S$44,"&lt;="&amp;B28,'基础核心-参数库'!$T$40:$T$44,"&gt;"&amp;B28),0),IF(B30="平路",1,IF(B30="上坡",0.85,1.05)))</f>
        <v/>
      </c>
      <c r="C37" s="173" t="inlineStr">
        <is>
          <t>场外空车速度系数：同上查 U列</t>
        </is>
      </c>
    </row>
    <row r="38">
      <c r="A38" s="189" t="inlineStr">
        <is>
          <t>场外系数</t>
        </is>
      </c>
      <c r="B38" s="190" t="n"/>
      <c r="C38" s="191" t="n"/>
    </row>
    <row r="39" ht="23.15" customHeight="1">
      <c r="A39" s="171" t="inlineStr">
        <is>
          <t>场内重车速度(km/h)</t>
        </is>
      </c>
      <c r="B39" s="190">
        <f>B15*B34</f>
        <v/>
      </c>
      <c r="C39" s="173" t="inlineStr">
        <is>
          <t>场内重车实际速度 = 重车速度(B15) × 系数(B34)</t>
        </is>
      </c>
    </row>
    <row r="40" ht="23.15" customHeight="1">
      <c r="A40" s="171" t="inlineStr">
        <is>
          <t>场内空车速度(km/h)</t>
        </is>
      </c>
      <c r="B40" s="190">
        <f>B14*B35</f>
        <v/>
      </c>
      <c r="C40" s="173" t="inlineStr">
        <is>
          <t>场内空车实际速度 = 空车速度(B14) × 系数(B35)</t>
        </is>
      </c>
    </row>
    <row r="41" ht="23.15" customHeight="1">
      <c r="A41" s="171" t="inlineStr">
        <is>
          <t>场外重车速度(km/h)</t>
        </is>
      </c>
      <c r="B41" s="190">
        <f>B15*B36</f>
        <v/>
      </c>
      <c r="C41" s="173" t="inlineStr">
        <is>
          <t>场外重车实际速度 = 重车速度 × 系数(B36)</t>
        </is>
      </c>
    </row>
    <row r="42" ht="23.9" customHeight="1">
      <c r="A42" s="165" t="inlineStr">
        <is>
          <t>场外空车速度(km/h)</t>
        </is>
      </c>
      <c r="B42" s="192">
        <f>B14*B37</f>
        <v/>
      </c>
      <c r="C42" s="167" t="inlineStr">
        <is>
          <t>场外空车实际速度 = 空车速度 × 系数(B37)</t>
        </is>
      </c>
    </row>
    <row r="43" ht="15" customHeight="1">
      <c r="A43" s="168" t="n"/>
      <c r="B43" s="185" t="n"/>
      <c r="C43" s="186" t="n"/>
    </row>
    <row r="44">
      <c r="A44" s="170" t="inlineStr">
        <is>
          <t>--- 台班方量计算 ---</t>
        </is>
      </c>
      <c r="B44" s="217" t="n"/>
      <c r="C44" s="218" t="n"/>
    </row>
    <row r="45" ht="23.15" customHeight="1">
      <c r="A45" s="171" t="inlineStr">
        <is>
          <t>场内重车时间(min)</t>
        </is>
      </c>
      <c r="B45" s="190">
        <f>IFERROR(B23/B39*60,0)</f>
        <v/>
      </c>
      <c r="C45" s="173" t="inlineStr">
        <is>
          <t>场内重车时间(min) = 距离÷速度×60</t>
        </is>
      </c>
    </row>
    <row r="46" ht="23.15" customHeight="1">
      <c r="A46" s="171" t="inlineStr">
        <is>
          <t>场内空车时间(min)</t>
        </is>
      </c>
      <c r="B46" s="190">
        <f>IFERROR(B23/B40*60,0)</f>
        <v/>
      </c>
      <c r="C46" s="173" t="inlineStr">
        <is>
          <t>场内空车时间(min) = 距离÷速度×60</t>
        </is>
      </c>
    </row>
    <row r="47" ht="23.15" customHeight="1">
      <c r="A47" s="171" t="inlineStr">
        <is>
          <t>场外重车时间(min)</t>
        </is>
      </c>
      <c r="B47" s="190">
        <f>IFERROR(B24/B41*60,0)</f>
        <v/>
      </c>
      <c r="C47" s="173" t="inlineStr">
        <is>
          <t>场外重车时间(min) = 距离÷速度×60</t>
        </is>
      </c>
    </row>
    <row r="48" ht="23.15" customHeight="1">
      <c r="A48" s="171" t="inlineStr">
        <is>
          <t>场外空车时间(min)</t>
        </is>
      </c>
      <c r="B48" s="190">
        <f>IFERROR(B24/B42*60,0)</f>
        <v/>
      </c>
      <c r="C48" s="173" t="inlineStr">
        <is>
          <t>场外空车时间(min) = 距离÷速度×60</t>
        </is>
      </c>
    </row>
    <row r="49" ht="23.15" customHeight="1">
      <c r="A49" s="171" t="inlineStr">
        <is>
          <t>总循环时间(min)</t>
        </is>
      </c>
      <c r="B49" s="190">
        <f>MAX(B20+B16+B45+B46+B47+B48,3)</f>
        <v/>
      </c>
      <c r="C49" s="173" t="inlineStr">
        <is>
          <t>总循环时间 = 装车+卸车+四段行车 (最低3分钟保护)</t>
        </is>
      </c>
    </row>
    <row r="50" ht="34.7" customHeight="1">
      <c r="A50" s="171" t="inlineStr">
        <is>
          <t>台班趟数</t>
        </is>
      </c>
      <c r="B50" s="190">
        <f>'基础核心-参数库'!$Z$10*60*'基础核心-参数库'!$Z$13/B49</f>
        <v/>
      </c>
      <c r="C50" s="173" t="inlineStr">
        <is>
          <t>台班趟数 = 台班分钟【Z10×60=480】×矿卡时间利用率【Z13=0.85】÷循环时间</t>
        </is>
      </c>
    </row>
    <row r="51" ht="23.9" customHeight="1">
      <c r="A51" s="165" t="inlineStr">
        <is>
          <t>台班运输量(实方)</t>
        </is>
      </c>
      <c r="B51" s="192">
        <f>B50*B18</f>
        <v/>
      </c>
      <c r="C51" s="167" t="inlineStr">
        <is>
          <t>台班运输量(实方) = 趟数 × 每车实方(B18)</t>
        </is>
      </c>
    </row>
    <row r="52" ht="15" customHeight="1">
      <c r="A52" s="168" t="n"/>
      <c r="B52" s="185" t="n"/>
      <c r="C52" s="186" t="n"/>
    </row>
    <row r="53">
      <c r="A53" s="170" t="inlineStr">
        <is>
          <t>--- 能源费计算 ---</t>
        </is>
      </c>
      <c r="B53" s="217" t="n"/>
      <c r="C53" s="218" t="n"/>
      <c r="D53" s="193" t="inlineStr">
        <is>
          <t>矿卡油耗主要由三部分组成：</t>
        </is>
      </c>
      <c r="E53" s="193" t="n"/>
      <c r="F53" s="193" t="n"/>
    </row>
    <row r="54" ht="34.7" customHeight="1">
      <c r="A54" s="171" t="inlineStr">
        <is>
          <t>场内重车能耗系数</t>
        </is>
      </c>
      <c r="B54" s="190">
        <f>MAX(IFERROR(IF(B10="柴油",SUMIFS('基础核心-参数库'!$W$40:$W$44,'基础核心-参数库'!$R$40:$R$44,B25,'基础核心-参数库'!$S$40:$S$44,"&lt;="&amp;B26,'基础核心-参数库'!$T$40:$T$44,"&gt;"&amp;B26),SUMIFS('基础核心-参数库'!$X$40:$X$44,'基础核心-参数库'!$R$40:$R$44,B25,'基础核心-参数库'!$S$40:$S$44,"&lt;="&amp;B26,'基础核心-参数库'!$T$40:$T$44,"&gt;"&amp;B26)),0),IF(B25="平路",1,IF(B25="上坡",1.15,0.9)))</f>
        <v/>
      </c>
      <c r="C54" s="173" t="inlineStr">
        <is>
          <t>场内重车能耗系数：SUMIFS按方向+坡度查油耗系数(W列柴油/X列电)</t>
        </is>
      </c>
      <c r="D54" s="193" t="inlineStr">
        <is>
          <t>滚动阻力（轮胎与地面摩擦）：与载重正相关</t>
        </is>
      </c>
      <c r="E54" s="193" t="n"/>
      <c r="F54" s="193" t="n"/>
    </row>
    <row r="55">
      <c r="A55" s="171" t="inlineStr">
        <is>
          <t>场内空车能耗系数</t>
        </is>
      </c>
      <c r="B55" s="190">
        <f>MAX(IFERROR(IF(B10="柴油",SUMIFS('基础核心-参数库'!$W$40:$W$44,'基础核心-参数库'!$R$40:$R$44,B29,'基础核心-参数库'!$S$40:$S$44,"&lt;="&amp;B26,'基础核心-参数库'!$T$40:$T$44,"&gt;"&amp;B26),SUMIFS('基础核心-参数库'!$X$40:$X$44,'基础核心-参数库'!$R$40:$R$44,B29,'基础核心-参数库'!$S$40:$S$44,"&lt;="&amp;B26,'基础核心-参数库'!$T$40:$T$44,"&gt;"&amp;B26)),0),IF(B29="平路",1,IF(B29="上坡",1.15,0.9)))</f>
        <v/>
      </c>
      <c r="C55" s="173" t="inlineStr">
        <is>
          <t>场内空车能耗系数：同上</t>
        </is>
      </c>
      <c r="D55" s="193" t="inlineStr">
        <is>
          <t>空气阻力（迎风）：与车速正相关，与载重无关</t>
        </is>
      </c>
      <c r="E55" s="193" t="n"/>
      <c r="F55" s="193" t="n"/>
    </row>
    <row r="56">
      <c r="A56" s="171" t="inlineStr">
        <is>
          <t>场外重车能耗系数</t>
        </is>
      </c>
      <c r="B56" s="190">
        <f>MAX(IFERROR(IF(B10="柴油",SUMIFS('基础核心-参数库'!$W$40:$W$44,'基础核心-参数库'!$R$40:$R$44,B27,'基础核心-参数库'!$S$40:$S$44,"&lt;="&amp;B28,'基础核心-参数库'!$T$40:$T$44,"&gt;"&amp;B28),SUMIFS('基础核心-参数库'!$X$40:$X$44,'基础核心-参数库'!$R$40:$R$44,B27,'基础核心-参数库'!$S$40:$S$44,"&lt;="&amp;B28,'基础核心-参数库'!$T$40:$T$44,"&gt;"&amp;B28)),0),IF(B27="平路",1,IF(B27="上坡",1.15,0.9)))</f>
        <v/>
      </c>
      <c r="C56" s="173" t="inlineStr">
        <is>
          <t>场外重车能耗系数：同上</t>
        </is>
      </c>
      <c r="D56" s="193" t="inlineStr">
        <is>
          <t>爬坡功（克服重力做功）：与坡度、载重正相关</t>
        </is>
      </c>
      <c r="E56" s="193" t="n"/>
      <c r="F56" s="193" t="n"/>
    </row>
    <row r="57" ht="32.15" customHeight="1">
      <c r="A57" s="171" t="inlineStr">
        <is>
          <t>场外空车能耗系数</t>
        </is>
      </c>
      <c r="B57" s="190">
        <f>MAX(IFERROR(IF(B10="柴油",SUMIFS('基础核心-参数库'!$W$40:$W$44,'基础核心-参数库'!$R$40:$R$44,B30,'基础核心-参数库'!$S$40:$S$44,"&lt;="&amp;B28,'基础核心-参数库'!$T$40:$T$44,"&gt;"&amp;B28),SUMIFS('基础核心-参数库'!$X$40:$X$44,'基础核心-参数库'!$R$40:$R$44,B30,'基础核心-参数库'!$S$40:$S$44,"&lt;="&amp;B28,'基础核心-参数库'!$T$40:$T$44,"&gt;"&amp;B28)),0),IF(B30="平路",1,IF(B30="上坡",1.15,0.9)))</f>
        <v/>
      </c>
      <c r="C57" s="173" t="inlineStr">
        <is>
          <t>场外空车能耗系数：同上</t>
        </is>
      </c>
      <c r="D57" s="193" t="inlineStr">
        <is>
          <t>平路场景只有 1+2，没有 3；上坡场景三项全有。所以平路油耗一定大于空车（载重让滚阻变大），但远小于上坡（没有爬坡功）。</t>
        </is>
      </c>
      <c r="E57" s="193" t="n"/>
      <c r="F57" s="193" t="n"/>
    </row>
    <row r="58" ht="23.15" customHeight="1">
      <c r="A58" s="171" t="inlineStr">
        <is>
          <t>动力单价(元/L或kWh)</t>
        </is>
      </c>
      <c r="B58" s="190">
        <f>IF(B10="柴油",'基础核心-参数库'!$B$3,'基础核心-参数库'!$B$4)</f>
        <v/>
      </c>
      <c r="C58" s="173" t="inlineStr">
        <is>
          <t>动力单价：柴油=B3(7.5)，电=B4(0.65)</t>
        </is>
      </c>
      <c r="D58" s="193" t="inlineStr">
        <is>
          <t>为什么不能用 (上坡+下坡)/2</t>
        </is>
      </c>
      <c r="E58" s="193" t="n"/>
      <c r="F58" s="193" t="n"/>
    </row>
    <row r="59" ht="42.85" customHeight="1">
      <c r="A59" s="171" t="inlineStr">
        <is>
          <t>场内重车能源费/趟</t>
        </is>
      </c>
      <c r="B59" s="190">
        <f>IF(B25="上坡",B12,IF(B25="下坡",B13,B11+(B12-B11)*'基础核心-参数库'!$Z$7))*B23*B54*B58*(IF(B25="上坡",1+B26*'基础核心-参数库'!$Z$25,IF(B25="下坡",MAX(0.7,1-B26*'基础核心-参数库'!$Z$26),1+B26*'基础核心-参数库'!$Z$25*0.5)))</f>
        <v/>
      </c>
      <c r="C59" s="194" t="inlineStr">
        <is>
          <t>场内重车能源费/趟 = 基础油耗×距离×速度系数×单价 × slope_modifier(连续坡度修正,Z25/Z26)</t>
        </is>
      </c>
      <c r="D59" s="193" t="inlineStr">
        <is>
          <t>下坡时重力做正功，发动机几乎只是怠速，油耗接近"空车"</t>
        </is>
      </c>
      <c r="E59" s="193" t="n"/>
      <c r="F59" s="193" t="n"/>
    </row>
    <row r="60" ht="23.15" customHeight="1">
      <c r="A60" s="171" t="inlineStr">
        <is>
          <t>场内空车能源费/趟</t>
        </is>
      </c>
      <c r="B60" s="190">
        <f>B11*B23*B55*B58</f>
        <v/>
      </c>
      <c r="C60" s="195" t="inlineStr">
        <is>
          <t>场内空车能源费/趟 = 空载油耗×距离×系数×单价</t>
        </is>
      </c>
      <c r="D60" s="193" t="inlineStr">
        <is>
          <t>上坡的高油耗主要来自爬坡功</t>
        </is>
      </c>
      <c r="E60" s="193" t="n"/>
      <c r="F60" s="193" t="n"/>
    </row>
    <row r="61" ht="23.15" customHeight="1">
      <c r="A61" s="171" t="inlineStr">
        <is>
          <t>场外重车能源费/趟</t>
        </is>
      </c>
      <c r="B61" s="190">
        <f>IF(B27="上坡",B12,IF(B27="下坡",B13,B11+(B12-B11)*'基础核心-参数库'!$Z$7))*B24*B56*B58*(IF(B27="上坡",1+B28*'基础核心-参数库'!$Z$25,IF(B27="下坡",MAX(0.7,1-B28*'基础核心-参数库'!$Z$26),1+B28*'基础核心-参数库'!$Z$25*0.5)))</f>
        <v/>
      </c>
      <c r="C61" s="195" t="inlineStr">
        <is>
          <t>场外重车能源费/趟 = 同B59，公式参数换场外</t>
        </is>
      </c>
      <c r="D61" s="193" t="inlineStr">
        <is>
          <t>平均值物理意义不对，会高估平路油耗 30-50%</t>
        </is>
      </c>
      <c r="E61" s="193" t="n"/>
      <c r="F61" s="193" t="n"/>
    </row>
    <row r="62" ht="23.15" customHeight="1">
      <c r="A62" s="171" t="inlineStr">
        <is>
          <t>场外空车能源费/趟</t>
        </is>
      </c>
      <c r="B62" s="190">
        <f>B11*B24*B57*B58</f>
        <v/>
      </c>
      <c r="C62" s="195" t="inlineStr">
        <is>
          <t>场外空车能源费/趟 = 空载油耗×距离×系数×单价</t>
        </is>
      </c>
      <c r="D62" s="193" t="inlineStr">
        <is>
          <t>负载因子取值依据</t>
        </is>
      </c>
      <c r="E62" s="193" t="n"/>
      <c r="F62" s="193" t="n"/>
    </row>
    <row r="63" ht="23.9" customHeight="1">
      <c r="A63" s="165" t="inlineStr">
        <is>
          <t>每趟能源费(元)</t>
        </is>
      </c>
      <c r="B63" s="192">
        <f>MAX(0,B59+B60+B61+B62)</f>
        <v/>
      </c>
      <c r="C63" s="196" t="inlineStr">
        <is>
          <t>每趟能源费 = 四段能源费之和 (≥0)</t>
        </is>
      </c>
      <c r="D63" s="197" t="n"/>
      <c r="E63" s="223" t="n"/>
      <c r="F63" s="224" t="n"/>
    </row>
    <row r="64" ht="15" customHeight="1">
      <c r="A64" s="168" t="n"/>
      <c r="B64" s="185" t="n"/>
      <c r="C64" s="186" t="n"/>
      <c r="D64" s="193" t="inlineStr">
        <is>
          <t>工况</t>
        </is>
      </c>
      <c r="E64" s="193" t="inlineStr">
        <is>
          <t>负载因子</t>
        </is>
      </c>
      <c r="F64" s="193" t="inlineStr">
        <is>
          <t>说明</t>
        </is>
      </c>
    </row>
    <row r="65">
      <c r="A65" s="198" t="inlineStr">
        <is>
          <t>--- 台班费计算 ---</t>
        </is>
      </c>
      <c r="B65" s="217" t="n"/>
      <c r="C65" s="217" t="n"/>
      <c r="D65" s="193" t="n">
        <v>0.15</v>
      </c>
      <c r="E65" s="193" t="inlineStr">
        <is>
          <t>高速公路、油门稳定</t>
        </is>
      </c>
      <c r="F65" s="193" t="inlineStr">
        <is>
          <t>风阻占主导，载重影响小</t>
        </is>
      </c>
    </row>
    <row r="66" ht="23.15" customHeight="1">
      <c r="A66" s="171" t="inlineStr">
        <is>
          <t>原值(万元)</t>
        </is>
      </c>
      <c r="B66" s="190">
        <f>IFERROR(VLOOKUP(B7,'基础核心-参数库'!$A$40:$K$47,11,0),200)</f>
        <v/>
      </c>
      <c r="C66" s="195" t="inlineStr">
        <is>
          <t>矿卡原值(万元)：参数库 K$40 查</t>
        </is>
      </c>
      <c r="D66" s="193" t="n">
        <v>0.2</v>
      </c>
      <c r="E66" s="193" t="inlineStr">
        <is>
          <t>矿区平整硬质路面</t>
        </is>
      </c>
      <c r="F66" s="193" t="inlineStr">
        <is>
          <t>推荐用于场外公路短倒</t>
        </is>
      </c>
    </row>
    <row r="67" ht="23.15" customHeight="1">
      <c r="A67" s="171" t="inlineStr">
        <is>
          <t>耐用台班</t>
        </is>
      </c>
      <c r="B67" s="190">
        <f>IFERROR(VLOOKUP(B7,'基础核心-参数库'!$A$40:$L$47,12,0),3500)</f>
        <v/>
      </c>
      <c r="C67" s="195" t="inlineStr">
        <is>
          <t>矿卡耐用台班：参数库 L$40 查 (=250×常量Z8=2000)</t>
        </is>
      </c>
      <c r="D67" s="193" t="n">
        <v>0.25</v>
      </c>
      <c r="E67" s="193" t="inlineStr">
        <is>
          <t>矿区一般路面（默认）</t>
        </is>
      </c>
      <c r="F67" s="193" t="inlineStr">
        <is>
          <t>推荐用于多数场景</t>
        </is>
      </c>
    </row>
    <row r="68" ht="49.7" customHeight="1">
      <c r="A68" s="171" t="inlineStr">
        <is>
          <t>折旧+维修费(元/台班)</t>
        </is>
      </c>
      <c r="B68" s="190">
        <f>(B66*10000*(1-IFERROR(VLOOKUP(B7,'基础核心-参数库'!$A$40:$M$47,13,0),0.05))/B67)*'基础核心-参数库'!$Z$3</f>
        <v/>
      </c>
      <c r="C68" s="199" t="inlineStr">
        <is>
          <t>矿卡折旧维修=原值(K$40)×(1-残值率M$40)÷耐用台班(L$40)×系数【常量Z3=1.5】</t>
        </is>
      </c>
      <c r="D68" s="193" t="n">
        <v>0.3</v>
      </c>
      <c r="E68" s="193" t="inlineStr">
        <is>
          <t>矿区粗糙/松软路面</t>
        </is>
      </c>
      <c r="F68" s="193" t="inlineStr">
        <is>
          <t>推荐用于场内便道</t>
        </is>
      </c>
    </row>
    <row r="69" ht="23.15" customHeight="1">
      <c r="A69" s="171" t="inlineStr">
        <is>
          <t>保险费(元/台班)</t>
        </is>
      </c>
      <c r="B69" s="190">
        <f>B66*10000*'基础核心-参数库'!$B$19/'基础核心-参数库'!$B$18</f>
        <v/>
      </c>
      <c r="C69" s="195" t="inlineStr">
        <is>
          <t>矿卡保险 = 原值×保险率÷年台班</t>
        </is>
      </c>
      <c r="D69" s="193" t="inlineStr">
        <is>
          <t>0.40+</t>
        </is>
      </c>
      <c r="E69" s="193" t="inlineStr">
        <is>
          <t>烂路、积水、起伏路</t>
        </is>
      </c>
      <c r="F69" s="193" t="inlineStr">
        <is>
          <t>滚阻显著增加</t>
        </is>
      </c>
    </row>
    <row r="70" ht="23.15" customHeight="1">
      <c r="A70" s="171" t="inlineStr">
        <is>
          <t>台班基础费(元)</t>
        </is>
      </c>
      <c r="B70" s="190">
        <f>B68+B69+'基础核心-参数库'!$B$5</f>
        <v/>
      </c>
      <c r="C70" s="195" t="inlineStr">
        <is>
          <t>台班基础费 = 折旧维修+保险+机手(参数库B5=300)</t>
        </is>
      </c>
    </row>
    <row r="71" ht="23.15" customHeight="1">
      <c r="A71" s="171" t="inlineStr">
        <is>
          <t>台班能源费(元)</t>
        </is>
      </c>
      <c r="B71" s="190">
        <f>B50*B63</f>
        <v/>
      </c>
      <c r="C71" s="195" t="inlineStr">
        <is>
          <t>台班能源费 = 趟数 × 每趟能源费</t>
        </is>
      </c>
    </row>
    <row r="72" ht="23.15" customHeight="1">
      <c r="A72" s="171" t="inlineStr">
        <is>
          <t>自有台班费(元)</t>
        </is>
      </c>
      <c r="B72" s="190">
        <f>B70+B71</f>
        <v/>
      </c>
      <c r="C72" s="195" t="inlineStr">
        <is>
          <t>自有台班费 = 基础费(B70) + 能源费(B71)</t>
        </is>
      </c>
    </row>
    <row r="73" ht="23.15" customHeight="1">
      <c r="A73" s="171" t="inlineStr">
        <is>
          <t>租赁台班费(元)</t>
        </is>
      </c>
      <c r="B73" s="190">
        <f>MAX(IFERROR(VLOOKUP(B7,'基础核心-参数库'!$A$40:$N$47,14,0),3000),B72*1.05)</f>
        <v/>
      </c>
      <c r="C73" s="195" t="inlineStr">
        <is>
          <t>矿卡租赁台班费 = MAX(参数库 N$40 查, 自有费 B72 × 1.05) ←v10兜底防倒挂</t>
        </is>
      </c>
    </row>
    <row r="74" ht="23.9" customHeight="1">
      <c r="A74" s="165" t="inlineStr">
        <is>
          <t>台班费(元)</t>
        </is>
      </c>
      <c r="B74" s="192">
        <f>IF(B8="自有",B72,B73)</f>
        <v/>
      </c>
      <c r="C74" s="196" t="inlineStr">
        <is>
          <t>台班费 = 自有则取自有，否则取租赁</t>
        </is>
      </c>
    </row>
    <row r="75">
      <c r="A75" s="200" t="n"/>
      <c r="B75" s="201" t="n"/>
      <c r="C75" s="202" t="n"/>
    </row>
  </sheetData>
  <mergeCells count="8">
    <mergeCell ref="A44:C44"/>
    <mergeCell ref="A1:C1"/>
    <mergeCell ref="A32:C32"/>
    <mergeCell ref="A22:C22"/>
    <mergeCell ref="A53:C53"/>
    <mergeCell ref="A4:C4"/>
    <mergeCell ref="A65:C65"/>
    <mergeCell ref="D63:F6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.7117117117117" customWidth="1" min="1" max="1"/>
    <col width="13.5765765765766" customWidth="1" min="2" max="2"/>
    <col width="34.1441441441441" customWidth="1" min="3" max="3"/>
  </cols>
  <sheetData>
    <row r="1" ht="30" customHeight="1">
      <c r="A1" s="128" t="inlineStr">
        <is>
          <t>钩机松土成本计算明细表</t>
        </is>
      </c>
      <c r="D1" s="203" t="n"/>
    </row>
    <row r="2" ht="23.15" customHeight="1">
      <c r="A2" s="162" t="inlineStr">
        <is>
          <t>松土费(元/实方)</t>
        </is>
      </c>
      <c r="B2" s="204">
        <f>IFERROR(B11/B10+B12,0)</f>
        <v/>
      </c>
      <c r="C2" s="205" t="inlineStr">
        <is>
          <t>松土费 = 挖机台班费÷松土器台班产量 + 齿尖耗材费</t>
        </is>
      </c>
      <c r="D2" s="203" t="n"/>
    </row>
    <row r="3" ht="20" customHeight="1">
      <c r="A3" s="171" t="inlineStr">
        <is>
          <t>f值</t>
        </is>
      </c>
      <c r="B3" s="172">
        <f>'成本汇总-测算主表'!$B$5</f>
        <v/>
      </c>
      <c r="C3" s="173" t="inlineStr">
        <is>
          <t>f值：主表B5</t>
        </is>
      </c>
      <c r="D3" s="203" t="n"/>
    </row>
    <row r="4" ht="20" customHeight="1">
      <c r="A4" s="171" t="inlineStr">
        <is>
          <t>挖机代号</t>
        </is>
      </c>
      <c r="B4" s="187">
        <f>'成本汇总-测算主表'!$B$17</f>
        <v/>
      </c>
      <c r="C4" s="173" t="inlineStr">
        <is>
          <t>挖机代号：主表B17</t>
        </is>
      </c>
      <c r="D4" s="203" t="n"/>
    </row>
    <row r="5" ht="20" customHeight="1">
      <c r="A5" s="171" t="inlineStr">
        <is>
          <t>挖机来源</t>
        </is>
      </c>
      <c r="B5" s="187">
        <f>'成本汇总-测算主表'!$B$18</f>
        <v/>
      </c>
      <c r="C5" s="173" t="inlineStr">
        <is>
          <t>挖机来源：主表B18</t>
        </is>
      </c>
      <c r="D5" s="203" t="n"/>
    </row>
    <row r="6" ht="20" customHeight="1">
      <c r="A6" s="171" t="inlineStr">
        <is>
          <t>斗容(m³)</t>
        </is>
      </c>
      <c r="B6" s="174">
        <f>IFERROR(VLOOKUP(B4,'基础核心-参数库'!$A$26:$D$36,4,0),2)</f>
        <v/>
      </c>
      <c r="C6" s="173" t="inlineStr">
        <is>
          <t>斗容(m³)：按代号查参数库 D$26</t>
        </is>
      </c>
      <c r="D6" s="203" t="n"/>
    </row>
    <row r="7" ht="24.85" customHeight="1">
      <c r="A7" s="171" t="inlineStr">
        <is>
          <t>岩石硬度松土器作业效率系数</t>
        </is>
      </c>
      <c r="B7" s="174">
        <f t="array" ref="B7">IFERROR(IF(B3&lt;='基础核心-参数库'!$D$13,INDEX('基础核心-参数库'!$H$13:$H$22,MATCH('基础核心-参数库'!$D$13,'基础核心-参数库'!$D$13:$D$22,0)),IF(B3&gt;='基础核心-参数库'!$D$22,INDEX('基础核心-参数库'!$H$13:$H$22,MATCH('基础核心-参数库'!$D$22,'基础核心-参数库'!$D$13:$D$22,0)),INDEX('基础核心-参数库'!$H$13:$H$22,MATCH(B3,'基础核心-参数库'!$D$13:$D$22,1))+(B3-INDEX('基础核心-参数库'!$D$13:$D$22,MATCH(B3,'基础核心-参数库'!$D$13:$D$22,1)))*(INDEX('基础核心-参数库'!$H$13:$H$22,MATCH(B3,'基础核心-参数库'!$D$13:$D$22,1)+1)-INDEX('基础核心-参数库'!$H$13:$H$22,MATCH(B3,'基础核心-参数库'!$D$13:$D$22,1)))/(INDEX('基础核心-参数库'!$D$13:$D$22,MATCH(B3,'基础核心-参数库'!$D$13:$D$22,1)+1)-INDEX('基础核心-参数库'!$D$13:$D$22,MATCH(B3,'基础核心-参数库'!$D$13:$D$22,1))))),0)</f>
        <v/>
      </c>
      <c r="C7" s="206" t="inlineStr">
        <is>
          <t>松土器效率系数：f值插值，2~0，f越大效率越低，f&gt;14时松土器基本失效。</t>
        </is>
      </c>
      <c r="D7" s="203" t="n"/>
    </row>
    <row r="8" ht="37.3" customHeight="1">
      <c r="A8" s="171" t="inlineStr">
        <is>
          <t>工艺顺序错配惩罚系数（松土器）</t>
        </is>
      </c>
      <c r="B8" s="174">
        <f>IFERROR(IF(AND('成本汇总-测算主表'!$B$13="爆破+开挖",'成本汇总-测算主表'!$B$12="松土器松土+开挖"),VLOOKUP("爆破→松土",'基础核心-参数库'!$M$3:$O$7,2,0),IF(AND('成本汇总-测算主表'!$B$13="松土器松土+开挖",'成本汇总-测算主表'!$B$12="机械破碎+开挖"),VLOOKUP("松土→破碎",'基础核心-参数库'!$M$3:$O$7,2,0),1)),1)</f>
        <v/>
      </c>
      <c r="C8" s="206" t="inlineStr">
        <is>
          <t>工艺错配惩罚：爆破→松土 ×0.2（极不推荐）；松土→破碎 ×0.7（勉强可接受）。</t>
        </is>
      </c>
      <c r="D8" s="203" t="n"/>
    </row>
    <row r="9" ht="37.3" customHeight="1">
      <c r="A9" s="171" t="inlineStr">
        <is>
          <t>工艺错配齿尖消耗倍率</t>
        </is>
      </c>
      <c r="B9" s="174">
        <f>IFERROR(IF(AND('成本汇总-测算主表'!$B$13="爆破+开挖",'成本汇总-测算主表'!$B$12="松土器松土+开挖"),VLOOKUP("爆破→松土",'基础核心-参数库'!$M$3:$O$7,3,0),IF(AND('成本汇总-测算主表'!$B$13="松土器松土+开挖",'成本汇总-测算主表'!$B$12="机械破碎+开挖"),VLOOKUP("松土→破碎",'基础核心-参数库'!$M$3:$O$7,3,0),1)),1)</f>
        <v/>
      </c>
      <c r="C9" s="206" t="inlineStr">
        <is>
          <t>耗材费倍率：工艺顺序错误时，齿尖消耗成倍增加，爆破→松土 ×5.0，松土→破碎 ×1.5。</t>
        </is>
      </c>
      <c r="D9" s="203" t="n"/>
    </row>
    <row r="10" ht="46.3" customHeight="1">
      <c r="A10" s="171" t="inlineStr">
        <is>
          <t>松土器台班产量(实方)</t>
        </is>
      </c>
      <c r="B10" s="174">
        <f>IFERROR(B7*INDEX('基础核心-参数库'!$B$119:$B$124,MATCH(B3,'基础核心-参数库'!$A$119:$A$124,1))*(B6/2)*'基础核心-参数库'!$Z$22*'基础核心-参数库'!$Z$16*'基础核心-参数库'!$B$21,0)*B8</f>
        <v/>
      </c>
      <c r="C10" s="173" t="inlineStr">
        <is>
          <t>松土器台班产量 = 工艺效率×松土斗系数×(斗容÷2)×斗容利用率【Z22=0.85】×松土器时间利用率【Z16=0.70】×工作面折减(B21)×错配惩罚</t>
        </is>
      </c>
      <c r="D10" s="203" t="n"/>
    </row>
    <row r="11" ht="24.85" customHeight="1">
      <c r="A11" s="171" t="inlineStr">
        <is>
          <t>挖机台班费(元)</t>
        </is>
      </c>
      <c r="B11" s="174">
        <f>'计算明细表-挖装成本'!$B$35</f>
        <v/>
      </c>
      <c r="C11" s="206" t="inlineStr">
        <is>
          <t>与开挖设备同型号，但更换了钩机头，故台班费用与所选挖机费用一致。</t>
        </is>
      </c>
      <c r="D11" s="203" t="n"/>
    </row>
    <row r="12" ht="23.9" customHeight="1">
      <c r="A12" s="165" t="inlineStr">
        <is>
          <t>齿尖耗材费(元/方)</t>
        </is>
      </c>
      <c r="B12" s="178">
        <f>IFERROR('基础核心-参数库'!$B$12/'基础核心-参数库'!$B$13,0)*B9</f>
        <v/>
      </c>
      <c r="C12" s="167" t="inlineStr">
        <is>
          <t>齿尖耗材费 = 齿尖单价(B12)÷寿命(B13) × 错配消耗倍率(B9)</t>
        </is>
      </c>
      <c r="D12" s="203" t="n"/>
    </row>
    <row r="13" ht="20.25" customHeight="1"/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9.1441441441441" customWidth="1" min="1" max="1"/>
    <col width="19.4234234234234" customWidth="1" min="2" max="2"/>
    <col width="33.2702702702703" customWidth="1" min="3" max="3"/>
  </cols>
  <sheetData>
    <row r="1" ht="30" customHeight="1">
      <c r="A1" s="207" t="inlineStr">
        <is>
          <t>机械破碎成本计算明细表</t>
        </is>
      </c>
      <c r="D1" s="203" t="n"/>
    </row>
    <row r="2" ht="24.85" customHeight="1">
      <c r="A2" s="208" t="inlineStr">
        <is>
          <t>破碎费(元/实方)</t>
        </is>
      </c>
      <c r="B2" s="209">
        <f>IFERROR(B11/B10+B12,0)</f>
        <v/>
      </c>
      <c r="C2" s="210" t="inlineStr">
        <is>
          <t>破碎费 = 挖机台班费÷破碎台班产量 + 钎杆耗材费</t>
        </is>
      </c>
      <c r="D2" s="203" t="n"/>
    </row>
    <row r="3" ht="14.1" customHeight="1">
      <c r="A3" s="211" t="inlineStr">
        <is>
          <t>f值</t>
        </is>
      </c>
      <c r="B3" s="172">
        <f>'成本汇总-测算主表'!$B$5</f>
        <v/>
      </c>
      <c r="C3" s="212" t="inlineStr">
        <is>
          <t>f值：主表B5</t>
        </is>
      </c>
      <c r="D3" s="203" t="n"/>
    </row>
    <row r="4" ht="14.1" customHeight="1">
      <c r="A4" s="211" t="inlineStr">
        <is>
          <t>挖机代号</t>
        </is>
      </c>
      <c r="B4" s="187">
        <f>'成本汇总-测算主表'!$B$17</f>
        <v/>
      </c>
      <c r="C4" s="212" t="inlineStr">
        <is>
          <t>挖机代号：主表B17</t>
        </is>
      </c>
      <c r="D4" s="203" t="n"/>
    </row>
    <row r="5" ht="14.1" customHeight="1">
      <c r="A5" s="211" t="inlineStr">
        <is>
          <t>挖机来源</t>
        </is>
      </c>
      <c r="B5" s="187">
        <f>'成本汇总-测算主表'!$B$18</f>
        <v/>
      </c>
      <c r="C5" s="212" t="inlineStr">
        <is>
          <t>挖机来源：主表B18</t>
        </is>
      </c>
      <c r="D5" s="203" t="n"/>
    </row>
    <row r="6" ht="14.1" customHeight="1">
      <c r="A6" s="211" t="inlineStr">
        <is>
          <t>斗容(m³)</t>
        </is>
      </c>
      <c r="B6" s="174">
        <f>IFERROR(VLOOKUP(B4,'基础核心-参数库'!$A$26:$D$36,4,0),2)</f>
        <v/>
      </c>
      <c r="C6" s="212" t="inlineStr">
        <is>
          <t>斗容(m³)：按代号查参数库 D$26</t>
        </is>
      </c>
      <c r="D6" s="203" t="n"/>
    </row>
    <row r="7" ht="49.7" customHeight="1">
      <c r="A7" s="211" t="inlineStr">
        <is>
          <t>岩石硬度破碎锤作业效率系数</t>
        </is>
      </c>
      <c r="B7" s="174">
        <f t="array" ref="B7">IFERROR(IF(B3&lt;='基础核心-参数库'!$D$13,INDEX('基础核心-参数库'!$I$13:$I$22,MATCH('基础核心-参数库'!$D$13,'基础核心-参数库'!$D$13:$D$22,0)),IF(B3&gt;='基础核心-参数库'!$D$22,INDEX('基础核心-参数库'!$I$13:$I$22,MATCH('基础核心-参数库'!$D$22,'基础核心-参数库'!$D$13:$D$22,0)),INDEX('基础核心-参数库'!$I$13:$I$22,MATCH(B3,'基础核心-参数库'!$D$13:$D$22,1))+(B3-INDEX('基础核心-参数库'!$D$13:$D$22,MATCH(B3,'基础核心-参数库'!$D$13:$D$22,1)))*(INDEX('基础核心-参数库'!$I$13:$I$22,MATCH(B3,'基础核心-参数库'!$D$13:$D$22,1)+1)-INDEX('基础核心-参数库'!$I$13:$I$22,MATCH(B3,'基础核心-参数库'!$D$13:$D$22,1))))),0)</f>
        <v/>
      </c>
      <c r="C7" s="213" t="inlineStr">
        <is>
          <t>破碎锤效率系数：f值插值，1.2~0.5，f越大效率越低
比松土器适用范围更广（f到22仍有效）</t>
        </is>
      </c>
      <c r="D7" s="203" t="n"/>
    </row>
    <row r="8" ht="37.3" customHeight="1">
      <c r="A8" s="211" t="inlineStr">
        <is>
          <t>工艺顺序错配惩罚系数（破碎锤）</t>
        </is>
      </c>
      <c r="B8" s="174">
        <f>IFERROR(IF(AND('成本汇总-测算主表'!$B$13="爆破+开挖",OR('成本汇总-测算主表'!$B$12="机械破碎+开挖",'成本汇总-测算主表'!$B$12="爆破+二次破碎+开挖")),VLOOKUP("爆破→破碎",'基础核心-参数库'!$M$3:$O$7,2,0),IF(AND('成本汇总-测算主表'!$B$13="松土器松土+开挖",OR('成本汇总-测算主表'!$B$12="机械破碎+开挖",'成本汇总-测算主表'!$B$12="爆破+二次破碎+开挖")),VLOOKUP("松土→破碎",'基础核心-参数库'!$M$3:$O$7,2,0),1)),1)</f>
        <v/>
      </c>
      <c r="C8" s="213" t="inlineStr">
        <is>
          <t>工艺错配惩罚：爆破→破碎 ×0.5（不推荐），松土→破碎 ×0.7（勉强可接受）</t>
        </is>
      </c>
      <c r="D8" s="203" t="n"/>
    </row>
    <row r="9" ht="37.3" customHeight="1">
      <c r="A9" s="211" t="inlineStr">
        <is>
          <t>工艺错配钎杆消耗倍率</t>
        </is>
      </c>
      <c r="B9" s="174">
        <f>IFERROR(IF(AND('成本汇总-测算主表'!$B$13="爆破+开挖",OR('成本汇总-测算主表'!$B$12="机械破碎+开挖",'成本汇总-测算主表'!$B$12="爆破+二次破碎+开挖")),VLOOKUP("爆破→破碎",'基础核心-参数库'!$M$3:$O$7,3,0),IF(AND('成本汇总-测算主表'!$B$13="松土器松土+开挖",OR('成本汇总-测算主表'!$B$12="机械破碎+开挖",'成本汇总-测算主表'!$B$12="爆破+二次破碎+开挖")),VLOOKUP("松土→破碎",'基础核心-参数库'!$M$3:$O$7,3,0),1)),1)</f>
        <v/>
      </c>
      <c r="C9" s="213" t="inlineStr">
        <is>
          <t>耗材费倍率：工艺顺序错误时，钎杆消耗成倍增加，爆破→破碎 ×3.0，松土→破碎 ×1.5。</t>
        </is>
      </c>
      <c r="D9" s="203" t="n"/>
    </row>
    <row r="10" ht="62.15" customHeight="1">
      <c r="A10" s="211" t="inlineStr">
        <is>
          <t>破碎台班产量(实方)</t>
        </is>
      </c>
      <c r="B10" s="174">
        <f>IFERROR(B7*INDEX('基础核心-参数库'!$D$119:$D$124,MATCH(B3,'基础核心-参数库'!$C$119:$C$124,1))*(B6/2)*'基础核心-参数库'!$Z$22*'基础核心-参数库'!$Z$17*'基础核心-参数库'!$B$21,0)*B8</f>
        <v/>
      </c>
      <c r="C10" s="212" t="inlineStr">
        <is>
          <t>破碎台班产量 = 工艺效率×破碎锤系数×(斗容÷2)×斗容利用率【Z22=0.85】×破碎锤时间利用率【Z17=0.65】×工作面折减(B21)×错配惩罚</t>
        </is>
      </c>
      <c r="D10" s="203" t="n"/>
    </row>
    <row r="11" ht="24.85" customHeight="1">
      <c r="A11" s="211" t="inlineStr">
        <is>
          <t>挖机台班费(元)</t>
        </is>
      </c>
      <c r="B11" s="174">
        <f>'计算明细表-挖装成本'!$B$35</f>
        <v/>
      </c>
      <c r="C11" s="212" t="inlineStr">
        <is>
          <t>挖机台班费 = 取挖装表B35（同挖机型号、换破碎锤）</t>
        </is>
      </c>
      <c r="D11" s="203" t="n"/>
    </row>
    <row r="12" ht="25.6" customHeight="1">
      <c r="A12" s="214" t="inlineStr">
        <is>
          <t>钎杆耗材费(元/方)</t>
        </is>
      </c>
      <c r="B12" s="215">
        <f>IFERROR('基础核心-参数库'!$B$9/'基础核心-参数库'!$B$10,0)*B9</f>
        <v/>
      </c>
      <c r="C12" s="216" t="inlineStr">
        <is>
          <t>钎杆耗材费 = 钎杆单价(B9)÷寿命(B10) × 错配消耗倍率</t>
        </is>
      </c>
      <c r="D12" s="203" t="n"/>
    </row>
    <row r="13" ht="20.25" customHeight="1"/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2026-06-01T07:16:08Z</dcterms:created>
  <dcterms:modified xmlns:dcterms="http://purl.org/dc/terms/" xmlns:xsi="http://www.w3.org/2001/XMLSchema-instance" xsi:type="dcterms:W3CDTF">2026-06-03T05:27:50Z</dcterms:modified>
</cp:coreProperties>
</file>